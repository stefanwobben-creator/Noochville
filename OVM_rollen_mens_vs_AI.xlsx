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zicht" sheetId="1" state="visible" r:id="rId3"/>
    <sheet name="Samenvatting" sheetId="2" state="visible" r:id="rId4"/>
  </sheets>
  <definedNames>
    <definedName function="false" hidden="true" localSheetId="0" name="_xlnm._FilterDatabase" vbProcedure="false">Overzicht!$A$2:$F$576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<sst xmlns="http://schemas.openxmlformats.org/spreadsheetml/2006/main" count="3463" uniqueCount="515">
  <si>
    <t xml:space="preserve">LET OP: automatische eerste inschatting (keyword-heuristiek op 592 accountabilities). Bedoeld als startpunt om samen te verfijnen, niet als eindoordeel.</t>
  </si>
  <si>
    <t xml:space="preserve">Cirkel</t>
  </si>
  <si>
    <t xml:space="preserve">Rol</t>
  </si>
  <si>
    <t xml:space="preserve">Accountability</t>
  </si>
  <si>
    <t xml:space="preserve">Uitvoerder</t>
  </si>
  <si>
    <t xml:space="preserve">AI-rijpheid</t>
  </si>
  <si>
    <t xml:space="preserve">Waarom</t>
  </si>
  <si>
    <t xml:space="preserve">—</t>
  </si>
  <si>
    <t xml:space="preserve">Facilitator</t>
  </si>
  <si>
    <t xml:space="preserve">Faciliteren van de regelmatige Werkoverleggen van de Cirkel</t>
  </si>
  <si>
    <t xml:space="preserve">AI</t>
  </si>
  <si>
    <t xml:space="preserve">Nu</t>
  </si>
  <si>
    <t xml:space="preserve">Data-/proceswerk ('faciliteren'): te automatiseren door een agent.</t>
  </si>
  <si>
    <t xml:space="preserve">Faciliteren van het Governance-proces van de Cirkel</t>
  </si>
  <si>
    <t xml:space="preserve">Agenderen van nieuwe verkiezingen voor de verkozen Rollen van de Cirkel na het verstrijken van een verkiezingstermijn</t>
  </si>
  <si>
    <t xml:space="preserve">Data-/proceswerk ('agenderen'): te automatiseren door een agent.</t>
  </si>
  <si>
    <t xml:space="preserve">Beoordelen van de overleggen en vastlegging van een Subcirkel en uitroepen van een Procesverstoring indien van toepassing</t>
  </si>
  <si>
    <t xml:space="preserve">Hybride</t>
  </si>
  <si>
    <t xml:space="preserve">Begeleid</t>
  </si>
  <si>
    <t xml:space="preserve">AI doet voorwerk; mens beslist of voert het relationele/fysieke deel uit.</t>
  </si>
  <si>
    <t xml:space="preserve">ROHDA</t>
  </si>
  <si>
    <t xml:space="preserve">Secretaris</t>
  </si>
  <si>
    <t xml:space="preserve">Plannen van regelmatige Werkoverleggen voor de Cirkel</t>
  </si>
  <si>
    <t xml:space="preserve">Data-/proceswerk ('plannen'): te automatiseren door een agent.</t>
  </si>
  <si>
    <t xml:space="preserve">Vastleggen en delen van de uitkomsten van het Werkoverleg</t>
  </si>
  <si>
    <t xml:space="preserve">Data-/proceswerk ('vastleggen'): te automatiseren door een agent.</t>
  </si>
  <si>
    <t xml:space="preserve">Plannen van de Roloverleggen van de Cirkel</t>
  </si>
  <si>
    <t xml:space="preserve">Vastleggen en delen van de uitkomsten van het Governance-proces van de Cirkel</t>
  </si>
  <si>
    <t xml:space="preserve">Op verzoek interpreteren van de Grondwet en alles wat daaruit voortvloeit</t>
  </si>
  <si>
    <t xml:space="preserve">Onlineveilingmeester.nl</t>
  </si>
  <si>
    <t xml:space="preserve">CISO</t>
  </si>
  <si>
    <t xml:space="preserve">Ontwikkelen en beheren van informatiebeveiligingsbeleid, -richtlijnen en - processen.</t>
  </si>
  <si>
    <t xml:space="preserve">Controleren van naleving van informatiebeveiligingsafspraken.</t>
  </si>
  <si>
    <t xml:space="preserve">Data-/proceswerk ('controleren'): te automatiseren door een agent.</t>
  </si>
  <si>
    <t xml:space="preserve">Identificeren en mitigeren van informatiebeveiligingsrisico’s.</t>
  </si>
  <si>
    <t xml:space="preserve">Uitvoeren van risicoanalyse en adviseren over verbeteringen.</t>
  </si>
  <si>
    <t xml:space="preserve">Monitoren van beveiligingsincidenten en coördineren van respons bij beveiligingsinbreuk en datalekken.</t>
  </si>
  <si>
    <t xml:space="preserve">Data-/proceswerk ('monitoren'): te automatiseren door een agent.</t>
  </si>
  <si>
    <t xml:space="preserve">Creeëren van bewustwording van medewerkers over cyberdreigingen zoals phishing.</t>
  </si>
  <si>
    <t xml:space="preserve">Begeleiden van audits en houden van toezicht op beveiligingsincidenten.</t>
  </si>
  <si>
    <t xml:space="preserve">Samenwerken met IT en management om dataveiligheid te waarborgen.</t>
  </si>
  <si>
    <t xml:space="preserve">Aanspreekpunt zijn voor informatiebeveiliging en ondersteunen van medewerkers bij beveiligingsvragen.</t>
  </si>
  <si>
    <t xml:space="preserve">Cirkel Rep</t>
  </si>
  <si>
    <t xml:space="preserve">Proberen om de Spanningen van Rol Leads binnen de Cirkel te begrijpen</t>
  </si>
  <si>
    <t xml:space="preserve">Beoordelen welke Spanningen geschikt zijn om te behandelen in een bredere Cirkel</t>
  </si>
  <si>
    <t xml:space="preserve">Agenderen en oplossen van Spanningen in een bredere Cirkel om belemmeringen voor de Cirkel weg te nemen</t>
  </si>
  <si>
    <t xml:space="preserve">Gouden kansen</t>
  </si>
  <si>
    <t xml:space="preserve">Ondersteunen van rollen bij het herkennen en benoemen van gouden kansen.</t>
  </si>
  <si>
    <t xml:space="preserve">Mens</t>
  </si>
  <si>
    <t xml:space="preserve">-</t>
  </si>
  <si>
    <t xml:space="preserve">Relationeel/juridisch/zeggenschap ('benoemen'): blijft bij de mens.</t>
  </si>
  <si>
    <t xml:space="preserve">Beoordelen of een kans daadwerkelijk een gouden kans is op basis van impact en haalbaarheid.</t>
  </si>
  <si>
    <t xml:space="preserve">Stellen van ambitieuze, maar realistische doelen voor gouden kansen.</t>
  </si>
  <si>
    <t xml:space="preserve">Organiseren van het juiste team en de juiste randvoorwaarden om een gouden kans te benutten.</t>
  </si>
  <si>
    <t xml:space="preserve">Stimuleren van energie en enthousiasme binnen het team rondom gouden kansen</t>
  </si>
  <si>
    <t xml:space="preserve">Auctionmaster.com</t>
  </si>
  <si>
    <t xml:space="preserve">Ontwikkelen van een onderscheidend creatief concept en marktpositionering.</t>
  </si>
  <si>
    <t xml:space="preserve">Ontwerpen en bouwen van systemen, processen en competenties voor schaalbare groei.</t>
  </si>
  <si>
    <t xml:space="preserve">Valideren van het platformconcept bij eindgebruikers en partners.</t>
  </si>
  <si>
    <t xml:space="preserve">Meenemen en voorbereiden van de bestaande organisatie op integratie en verandering</t>
  </si>
  <si>
    <t xml:space="preserve">Finance</t>
  </si>
  <si>
    <t xml:space="preserve">Input verzamelen van alle cirkelleden en deze actief inbrengen</t>
  </si>
  <si>
    <t xml:space="preserve">Feedback geven op plannen en concrete deliverables</t>
  </si>
  <si>
    <t xml:space="preserve">Nieuwe plannen toetsen op uitvoerbaarheid binnen de cirkel en de organisatie</t>
  </si>
  <si>
    <t xml:space="preserve">Kleine knelpunten direct oplossen en grotere issues tijdig escaleren naar de juiste rol of cirkel</t>
  </si>
  <si>
    <t xml:space="preserve">Draagvlak creëren door duidelijk te communiceren over voortgang, doelen en successen</t>
  </si>
  <si>
    <t xml:space="preserve">Front-Office</t>
  </si>
  <si>
    <t xml:space="preserve">IT-Ontwikkeling</t>
  </si>
  <si>
    <t xml:space="preserve">Inkoop</t>
  </si>
  <si>
    <t xml:space="preserve">Marketing</t>
  </si>
  <si>
    <t xml:space="preserve">Mens, organisatie &amp; cultuur</t>
  </si>
  <si>
    <t xml:space="preserve">Smooth Operations</t>
  </si>
  <si>
    <t xml:space="preserve">Stuurgroeplid</t>
  </si>
  <si>
    <t xml:space="preserve">Bewaken van de overall strategie</t>
  </si>
  <si>
    <t xml:space="preserve">Data-/proceswerk ('bewaken'): te automatiseren door een agent.</t>
  </si>
  <si>
    <t xml:space="preserve">Sparren en meedenken op hoog niveau</t>
  </si>
  <si>
    <t xml:space="preserve">Kritisch volgen van voortgang</t>
  </si>
  <si>
    <t xml:space="preserve">Externe blik behouden</t>
  </si>
  <si>
    <t xml:space="preserve">Actief</t>
  </si>
  <si>
    <t xml:space="preserve">Afrekening</t>
  </si>
  <si>
    <t xml:space="preserve">Opstellen van afrekeningen</t>
  </si>
  <si>
    <t xml:space="preserve">Data-/proceswerk ('opstellen'): te automatiseren door een agent.</t>
  </si>
  <si>
    <t xml:space="preserve">Aanmaken, verzenden, verrekenen en betalen van afrekeningen</t>
  </si>
  <si>
    <t xml:space="preserve">Bank</t>
  </si>
  <si>
    <t xml:space="preserve">Bijhouden en bijwerken van kas en kasboek</t>
  </si>
  <si>
    <t xml:space="preserve">Data-/proceswerk ('bijhouden'): te automatiseren door een agent.</t>
  </si>
  <si>
    <t xml:space="preserve">Verwerken van iDeal betalingen</t>
  </si>
  <si>
    <t xml:space="preserve">Data-/proceswerk ('verwerken'): te automatiseren door een agent.</t>
  </si>
  <si>
    <t xml:space="preserve">Verwerken van bankafschriften</t>
  </si>
  <si>
    <t xml:space="preserve">Crediteuren</t>
  </si>
  <si>
    <t xml:space="preserve">Overmaken van betalingen aan crediteuren</t>
  </si>
  <si>
    <t xml:space="preserve">Aanmaken en versturen van maandelijkse facturen</t>
  </si>
  <si>
    <t xml:space="preserve">Debiteuren</t>
  </si>
  <si>
    <t xml:space="preserve">Maken van een debiteurenbestand voor Straetus</t>
  </si>
  <si>
    <t xml:space="preserve">Aanmaken van creditfacturen</t>
  </si>
  <si>
    <t xml:space="preserve">Onderhouden van contacten (bellen, mailen, sms-en) met debiteuren over openstaande posten</t>
  </si>
  <si>
    <t xml:space="preserve">Controleren van inkoopfacturen Straetus</t>
  </si>
  <si>
    <t xml:space="preserve">Contact onderhouden met Straetus</t>
  </si>
  <si>
    <t xml:space="preserve">Elvy</t>
  </si>
  <si>
    <t xml:space="preserve">Inboeken van inkoopfacturen</t>
  </si>
  <si>
    <t xml:space="preserve">Controleren van declaraties</t>
  </si>
  <si>
    <t xml:space="preserve">Koppelen van grootboekrekeningen om inboeken te versnellen</t>
  </si>
  <si>
    <t xml:space="preserve">Gunnen</t>
  </si>
  <si>
    <t xml:space="preserve">Gunnen van veilingen</t>
  </si>
  <si>
    <t xml:space="preserve">Contact opnemen met commercieel verantwoordelijke</t>
  </si>
  <si>
    <t xml:space="preserve">Voorbereiden van de gunningslijst</t>
  </si>
  <si>
    <t xml:space="preserve">Bellen van kopers inzake de WWFT</t>
  </si>
  <si>
    <t xml:space="preserve">Jaarrekening</t>
  </si>
  <si>
    <t xml:space="preserve">Opstellen van jaarrekening dossier</t>
  </si>
  <si>
    <t xml:space="preserve">Afstemmen van de jaarrekening met de accountant</t>
  </si>
  <si>
    <t xml:space="preserve">Loonadministratie</t>
  </si>
  <si>
    <t xml:space="preserve">Verwerken van de loonadministratie controleren van loonstroken verwerken loonjournaalpost klaarzetten loonbetalingen in bank</t>
  </si>
  <si>
    <t xml:space="preserve">Maandafsluiting</t>
  </si>
  <si>
    <t xml:space="preserve">Controleren van grootboek en balans</t>
  </si>
  <si>
    <t xml:space="preserve">Doen van BTW aangifte</t>
  </si>
  <si>
    <t xml:space="preserve">Doen van ICP aangifte</t>
  </si>
  <si>
    <t xml:space="preserve">Elimineren van interne posten</t>
  </si>
  <si>
    <t xml:space="preserve">Uitsturen van overzicht van kosten binnen de groep</t>
  </si>
  <si>
    <t xml:space="preserve">Rapporteren van kavelomzet naar organisatie</t>
  </si>
  <si>
    <t xml:space="preserve">Data-/proceswerk ('rapporteren'): te automatiseren door een agent.</t>
  </si>
  <si>
    <t xml:space="preserve">Opstellen van document directieoverleg</t>
  </si>
  <si>
    <t xml:space="preserve">Overig administratief</t>
  </si>
  <si>
    <t xml:space="preserve">Beantwoorden en verwerken van mails</t>
  </si>
  <si>
    <t xml:space="preserve">Communiceren met klanten over financiële vraagstukken</t>
  </si>
  <si>
    <t xml:space="preserve">Tussentijdse controles</t>
  </si>
  <si>
    <t xml:space="preserve">Controleren van grootboekrekeningen</t>
  </si>
  <si>
    <t xml:space="preserve">Maken van correcte boekingen</t>
  </si>
  <si>
    <t xml:space="preserve">Controleren tussenrekening DRZ</t>
  </si>
  <si>
    <t xml:space="preserve">Voorschotten</t>
  </si>
  <si>
    <t xml:space="preserve">vaststellen en overmaken van het voorschot</t>
  </si>
  <si>
    <t xml:space="preserve">Duidelijk communiceren van de werkwijze en mogelijkheden van OVM.</t>
  </si>
  <si>
    <t xml:space="preserve">Zorgen dat opdrachtgevers en kopers zich begrepen voelen.</t>
  </si>
  <si>
    <t xml:space="preserve">Actief monitoren van klanttevredenheid</t>
  </si>
  <si>
    <t xml:space="preserve">Afgifte kavels</t>
  </si>
  <si>
    <t xml:space="preserve">Uitprinten van orderpicklijsten</t>
  </si>
  <si>
    <t xml:space="preserve">Doorsturen van orderpicklijsten aan projectleider</t>
  </si>
  <si>
    <t xml:space="preserve">Controleren van klantgegevens</t>
  </si>
  <si>
    <t xml:space="preserve">Controleren van WWFT-formulieren bij @Finance (https://nl.glassfrog.com/organizations/32054/orgnav/roles/13880317)</t>
  </si>
  <si>
    <t xml:space="preserve">Maken van kopies van ID-kaarten</t>
  </si>
  <si>
    <t xml:space="preserve">DRZ-kavel afgeven aan klanten</t>
  </si>
  <si>
    <t xml:space="preserve">Voltooid</t>
  </si>
  <si>
    <t xml:space="preserve">DRZ-info</t>
  </si>
  <si>
    <t xml:space="preserve">Verwerken van DRZ aanmeldingen</t>
  </si>
  <si>
    <t xml:space="preserve">Tijdig en accuraat informeren van DRZ</t>
  </si>
  <si>
    <t xml:space="preserve">Klachten opvolging</t>
  </si>
  <si>
    <t xml:space="preserve">Behandelen van klachten voor klanten</t>
  </si>
  <si>
    <t xml:space="preserve">Overleggen met andere afdelingen</t>
  </si>
  <si>
    <t xml:space="preserve">Bespreken van klachten met opdrachtgevers</t>
  </si>
  <si>
    <t xml:space="preserve">Klantcontact</t>
  </si>
  <si>
    <t xml:space="preserve">Beantwoorden van de telefoon, e-mail en WhatsApp</t>
  </si>
  <si>
    <t xml:space="preserve">Beheren van de OVM inbox</t>
  </si>
  <si>
    <t xml:space="preserve">Beoordelen van klachten en aanmaken van klanttickets</t>
  </si>
  <si>
    <t xml:space="preserve">Verdelen van vragen naar de juiste personen intern</t>
  </si>
  <si>
    <t xml:space="preserve">Informatie ophalen bij @Finance (https://nl.glassfrog.com/organizations/32054/orgnav/roles/13880317) over betalingen</t>
  </si>
  <si>
    <t xml:space="preserve">Controleren of betalingen kloppen</t>
  </si>
  <si>
    <t xml:space="preserve">Inspreken van de voicemail</t>
  </si>
  <si>
    <t xml:space="preserve">Office Management</t>
  </si>
  <si>
    <t xml:space="preserve">Bijhouden van eigen voorraad van huishoudelijke artikelen</t>
  </si>
  <si>
    <t xml:space="preserve">Inkopen en printen van kavel stickers</t>
  </si>
  <si>
    <t xml:space="preserve">Opruimen van kantoor en ontvangstruimtes</t>
  </si>
  <si>
    <t xml:space="preserve">Ontvangen van klanten en bezoekers</t>
  </si>
  <si>
    <t xml:space="preserve">Relationeel/juridisch/zeggenschap ('bezoek'): blijft bij de mens.</t>
  </si>
  <si>
    <t xml:space="preserve">Aanmaken van labels en en versturen van post</t>
  </si>
  <si>
    <t xml:space="preserve">Beheren van druppels</t>
  </si>
  <si>
    <t xml:space="preserve">IT Ontwikkeling</t>
  </si>
  <si>
    <t xml:space="preserve">1e lijns support</t>
  </si>
  <si>
    <t xml:space="preserve">Aanmaken en bijhouden van tickets voor incidenten</t>
  </si>
  <si>
    <t xml:space="preserve">Doorgeven van incidenten</t>
  </si>
  <si>
    <t xml:space="preserve">Monitoren van het support-kanaal (Teams)</t>
  </si>
  <si>
    <t xml:space="preserve">Doorgeven van downtime op support-kanaal (Teams)</t>
  </si>
  <si>
    <t xml:space="preserve">Prioriteren van incidenten (kritiek of wens)</t>
  </si>
  <si>
    <t xml:space="preserve">Contactpersoon extern</t>
  </si>
  <si>
    <t xml:space="preserve">Regelen van updates</t>
  </si>
  <si>
    <t xml:space="preserve">Contactpersoon voor Quintor</t>
  </si>
  <si>
    <t xml:space="preserve">Regelen van deployments</t>
  </si>
  <si>
    <t xml:space="preserve">Dev Lead</t>
  </si>
  <si>
    <t xml:space="preserve">Doorhakken van knopen bij onenigheid</t>
  </si>
  <si>
    <t xml:space="preserve">Fungeren als tussenpersoon tussen AW en het team</t>
  </si>
  <si>
    <t xml:space="preserve">Monitoren van de planning</t>
  </si>
  <si>
    <t xml:space="preserve">Prioriteren van issues</t>
  </si>
  <si>
    <t xml:space="preserve">Monitoren van performance indicatoren</t>
  </si>
  <si>
    <t xml:space="preserve">Onboarding</t>
  </si>
  <si>
    <t xml:space="preserve">Helpen van nieuwe medewerkers met werkinstructies</t>
  </si>
  <si>
    <t xml:space="preserve">Performance marketeer</t>
  </si>
  <si>
    <t xml:space="preserve">Verbeterpunten aanleveren op basis van bevindingen uit (klant)data</t>
  </si>
  <si>
    <t xml:space="preserve">Product Owner</t>
  </si>
  <si>
    <t xml:space="preserve">Prioritisering van IT-vragen</t>
  </si>
  <si>
    <t xml:space="preserve">Aanspreekpunt voor nieuwe en lopende tickets</t>
  </si>
  <si>
    <t xml:space="preserve">R&amp;D</t>
  </si>
  <si>
    <t xml:space="preserve">Onderzoeken van nieuwe technologieën</t>
  </si>
  <si>
    <t xml:space="preserve">Onderzoeken van nieuwe ideeën</t>
  </si>
  <si>
    <t xml:space="preserve">Onderzoeken binnegekomen problemen</t>
  </si>
  <si>
    <t xml:space="preserve">Discussiëren over verbeteringen nieuwe technologieën</t>
  </si>
  <si>
    <t xml:space="preserve">Bijhouden van nieuwe technologieën</t>
  </si>
  <si>
    <t xml:space="preserve">Team lid</t>
  </si>
  <si>
    <t xml:space="preserve">Participeren in sprint planning en updates</t>
  </si>
  <si>
    <t xml:space="preserve">Managen van Jira</t>
  </si>
  <si>
    <t xml:space="preserve">Zeuren over code</t>
  </si>
  <si>
    <t xml:space="preserve">Overleggen met collega’s</t>
  </si>
  <si>
    <t xml:space="preserve">Tester</t>
  </si>
  <si>
    <t xml:space="preserve">Functioneel testen van releases</t>
  </si>
  <si>
    <t xml:space="preserve">Registreren en communiceren van bevindingen</t>
  </si>
  <si>
    <t xml:space="preserve">Data-/proceswerk ('registreren'): te automatiseren door een agent.</t>
  </si>
  <si>
    <t xml:space="preserve">I.s.m. teamleden bepalen wanneer een release gedeployed kan worden.</t>
  </si>
  <si>
    <t xml:space="preserve">Documenteren van features &amp; test scenario's</t>
  </si>
  <si>
    <t xml:space="preserve">Data-/proceswerk ('documenteren'): te automatiseren door een agent.</t>
  </si>
  <si>
    <t xml:space="preserve">UI design</t>
  </si>
  <si>
    <t xml:space="preserve">Opmaak van visuele designs</t>
  </si>
  <si>
    <t xml:space="preserve">UX-design</t>
  </si>
  <si>
    <t xml:space="preserve">Gebruikerservaring pijnpunten op de website vinden.</t>
  </si>
  <si>
    <t xml:space="preserve">BU Ondernemers &amp; Insolventie</t>
  </si>
  <si>
    <t xml:space="preserve">Monitoren van media en je voelsprieten uitzetten om zo kansen te signaleren</t>
  </si>
  <si>
    <t xml:space="preserve">Signaleren en doorgeven van gouden kansen</t>
  </si>
  <si>
    <t xml:space="preserve">Data-/proceswerk ('signaleren'): te automatiseren door een agent.</t>
  </si>
  <si>
    <t xml:space="preserve">Kwalificeren van suspects en prospects</t>
  </si>
  <si>
    <t xml:space="preserve">Actief nieuwe opdrachtgevers aantrekken en overtuigen om samen te werken</t>
  </si>
  <si>
    <t xml:space="preserve">Bestaande relaties benutten als springplank naar nieuwe relaties</t>
  </si>
  <si>
    <t xml:space="preserve">Relationeel/juridisch/zeggenschap ('relatie'): blijft bij de mens.</t>
  </si>
  <si>
    <t xml:space="preserve">Bestaande opdrachtgevers actief houden en zorgen voor een constante stroom van opdrachten</t>
  </si>
  <si>
    <t xml:space="preserve">Mooie objecten bij de opdrachtgevers scouten waarbij er een goede kans op gegunde omzet</t>
  </si>
  <si>
    <t xml:space="preserve">Achterhalen wat het belangrijkste motief is van een opdrachtgever (gebrek aan tijd, liquiditeit en/of ruimte)</t>
  </si>
  <si>
    <t xml:space="preserve">De belangen van de opdrachtgevers behartigen en ervoor zorgen dat de rest van de organisatie begrijpt waarom dit belangrijk is</t>
  </si>
  <si>
    <t xml:space="preserve">Zorgen dat de briefingsdocumenten en veilingbevestigingen volledig, actueel en duidelijk zijn.</t>
  </si>
  <si>
    <t xml:space="preserve">Insolventie</t>
  </si>
  <si>
    <t xml:space="preserve">Onderhouden van sterke relaties met bestaande curatoren</t>
  </si>
  <si>
    <t xml:space="preserve">Actief acquireren van nieuwe curatoren</t>
  </si>
  <si>
    <t xml:space="preserve">Verzamelen van alle benodigde informatie voor de veilingbevestiging en afstemmen van de operationele uitvoering met de teamleider</t>
  </si>
  <si>
    <t xml:space="preserve">Data-/proceswerk ('verzamelen'): te automatiseren door een agent.</t>
  </si>
  <si>
    <t xml:space="preserve">Marketplace vertegenwoordiger</t>
  </si>
  <si>
    <t xml:space="preserve">Onderhouden van regelmatig contact met opdrachtgevers over wensen, verwachtingen en samenwerking.</t>
  </si>
  <si>
    <t xml:space="preserve">Evalueren van veilingen met opdrachtgevers op aspecten zoals opbrengst, samenwerking en verbeterpunten.</t>
  </si>
  <si>
    <t xml:space="preserve">Beheren van samenwerkingsovereenkomsten, inclusief zorgen voor ondertekening en informeren bij wijzigingen.</t>
  </si>
  <si>
    <t xml:space="preserve">Relationeel/juridisch/zeggenschap ('ondertek'): blijft bij de mens.</t>
  </si>
  <si>
    <t xml:space="preserve">Signaleren van kansen of knelpunten in de samenwerking en bespreken met interne stakeholders.</t>
  </si>
  <si>
    <t xml:space="preserve">Relationeel/juridisch/zeggenschap ('stakeholder'): blijft bij de mens.</t>
  </si>
  <si>
    <t xml:space="preserve">Zorgen voor duidelijke communicatie richting opdrachtgevers over planning, resultaten en bijzonderheden.</t>
  </si>
  <si>
    <t xml:space="preserve">Sales binnendienst</t>
  </si>
  <si>
    <t xml:space="preserve">Actief acquireren van zilveren prospects en afspraken inplannen voor Veilingadviseurs.</t>
  </si>
  <si>
    <t xml:space="preserve">Opvolgen van binnengekomen aanvragen</t>
  </si>
  <si>
    <t xml:space="preserve">Monitoren van Google Alerts en relevante signalen uit de markt en prospects doorzetten naar de juiste Veilingadviseur.</t>
  </si>
  <si>
    <t xml:space="preserve">Structureren en up-to-date houden van acquisitiedata in de systemen.</t>
  </si>
  <si>
    <t xml:space="preserve">Bijhouden van de salesforecast en actief bijdragen aan betere salesprestaties</t>
  </si>
  <si>
    <t xml:space="preserve">Organiseren van veilingevaluaties en zorgen dat learnings worden geborgd en terugvloeien naar het team.</t>
  </si>
  <si>
    <t xml:space="preserve">Borgen van alle BU-gerelateerde documenten in een duidelijke en toegankelijke mappenstructuur, zodat alle teamleden binnen de BU relevante informatie kunnen vinden</t>
  </si>
  <si>
    <t xml:space="preserve">Veilingadviseur</t>
  </si>
  <si>
    <t xml:space="preserve">Onderhouden van sterke relaties met bestaande opdrachtgevers.</t>
  </si>
  <si>
    <t xml:space="preserve">Vertegenwoordigen van OVM tijdens beurzen en netwerkbijeenkomsten.</t>
  </si>
  <si>
    <t xml:space="preserve">Relationeel/juridisch/zeggenschap ('vertegenwoordig'): blijft bij de mens.</t>
  </si>
  <si>
    <t xml:space="preserve">Bespreken van gunningen met opdrachtgevers.</t>
  </si>
  <si>
    <t xml:space="preserve">Actief acquireren van gouden prospects</t>
  </si>
  <si>
    <t xml:space="preserve">Opvolgen van aangeleverde prospects.</t>
  </si>
  <si>
    <t xml:space="preserve">Adviseren van prospects over de voordelen en succesfactoren van veilingen.</t>
  </si>
  <si>
    <t xml:space="preserve">Overtuigen van prospects om klant te worden.</t>
  </si>
  <si>
    <t xml:space="preserve">Inschatten van omzetpotentie van prospects en opdrachtgevers (goud, zilver, brons).</t>
  </si>
  <si>
    <t xml:space="preserve">Overleggen over prijsafwijkingen of andere afwijkende condities met Commercie</t>
  </si>
  <si>
    <t xml:space="preserve">Zorgen voor ondertekening van veilingbevestigingen en/of samenwerkingsovereenkomsten</t>
  </si>
  <si>
    <t xml:space="preserve">Versturen van voorstellen naar opdrachtgevers.</t>
  </si>
  <si>
    <t xml:space="preserve">Versturen en zorgen voor getekende ontvangst van de veilingbevestiging</t>
  </si>
  <si>
    <t xml:space="preserve">Vastleggen van afspraken die zijn gemaakt met opdrachtgevers.</t>
  </si>
  <si>
    <t xml:space="preserve">Opstellen van veilingvoorstellen</t>
  </si>
  <si>
    <t xml:space="preserve">Bewaken van ondertekening van veilingvoortstellen</t>
  </si>
  <si>
    <t xml:space="preserve">BU Overheid</t>
  </si>
  <si>
    <t xml:space="preserve">Actief nieuwe opdrachtgevers aantrekken en bestaande relaties versterken voor een constante stroom aan opdrachten.</t>
  </si>
  <si>
    <t xml:space="preserve">De juiste personen binnen overheden vinden en hen ondersteunen bij het overtuigen van hun stakeholders.</t>
  </si>
  <si>
    <t xml:space="preserve">Opdrachtgevers ontzorgen en belangen behartigen door ervoor de rest van de organisatie te enthousiasmeren</t>
  </si>
  <si>
    <t xml:space="preserve">Overheidsvoorwaarden en gunningscriteria monitoren en inzichtelijk maken, zodat de organisatie hierop kan inspelen.</t>
  </si>
  <si>
    <t xml:space="preserve">Zorgen dat de briefingsdocumenten en veilingbevestigingen volledig, actueel en duidelijk zijn</t>
  </si>
  <si>
    <t xml:space="preserve">Signaleren van gouden kansen</t>
  </si>
  <si>
    <t xml:space="preserve">Aanbestedings master</t>
  </si>
  <si>
    <t xml:space="preserve">Schrijven van de aanbesteding</t>
  </si>
  <si>
    <t xml:space="preserve">Coördineren van de aanbesteding</t>
  </si>
  <si>
    <t xml:space="preserve">Detecteren van de aanbestedingen</t>
  </si>
  <si>
    <t xml:space="preserve">Events</t>
  </si>
  <si>
    <t xml:space="preserve">Bijhouden van een overzicht met relevante events</t>
  </si>
  <si>
    <t xml:space="preserve">Vertalen van doelen naar een event-strategie</t>
  </si>
  <si>
    <t xml:space="preserve">Coördineren van alle operationale activiteiten voor succesvolle events</t>
  </si>
  <si>
    <t xml:space="preserve">Sales binnendienst overheid</t>
  </si>
  <si>
    <t xml:space="preserve">Actief acquireren van zilveren en bronzen prospects en inplannen van afspraken voor @Veilingadviseur overheid (https://nl.glassfrog.com/organizations/32054/orgnav/roles/14022705)</t>
  </si>
  <si>
    <t xml:space="preserve">Organiseren van veilingevaluaties</t>
  </si>
  <si>
    <t xml:space="preserve">Beoordelen en verdelen van alle veilingaanvragen</t>
  </si>
  <si>
    <t xml:space="preserve">Inschatten van omzetpotentie van opdrachtgevers (goud, zilver en brons)</t>
  </si>
  <si>
    <t xml:space="preserve">Structureren en up-to-date houden van acquisitiedata</t>
  </si>
  <si>
    <t xml:space="preserve">In afstemming met @veilingadviseur overheid maken van veilingvoorstellen</t>
  </si>
  <si>
    <t xml:space="preserve">Maken van briefingsdocumenten en veilingbevestigingen</t>
  </si>
  <si>
    <t xml:space="preserve">Overleggen over prijsafwijkingen of andere afwijkende condities met @Onlineveilingmeester.nl (https://nl.glassfrog.com/organizations/32054/orgnav/roles/13886754)</t>
  </si>
  <si>
    <t xml:space="preserve">Afstemmen met andere rollen in en buiten de organisatie voor een succesvolle veiling</t>
  </si>
  <si>
    <t xml:space="preserve">Up-to-date houden van de salesforecast en sturen op betere salesprestaties</t>
  </si>
  <si>
    <t xml:space="preserve">Prioriteren van door @Veilingadviseur overheid (https://nl.glassfrog.com/organizations/32054/orgnav/roles/14022705) overheid gespotte kansen in de markt en doorgeven aan @BU Overheid (https://nl.glassfrog.com/organizations/32054/orgnav/roles/14016111)</t>
  </si>
  <si>
    <t xml:space="preserve">Vastleggen van afspraken met opdrachtgevers en monitoren of de organisatie levert conform deze afspraken.</t>
  </si>
  <si>
    <t xml:space="preserve">Inschatten van veilingopbrengsten en communiceren van marketingbudget, scope en succesfactoren opvragen/verwerken van ruwe data is bruikbare overzichten/analyses</t>
  </si>
  <si>
    <t xml:space="preserve">Stagiair</t>
  </si>
  <si>
    <t xml:space="preserve">In afstemming met rolvervullers ondersteunen bij de uitvoering van operationele werkzaamheden.</t>
  </si>
  <si>
    <t xml:space="preserve">Actief bijdragen door het inbrengen van een eigen perspectief en initiatieven.</t>
  </si>
  <si>
    <t xml:space="preserve">Concrete leerdoelen formuleren en hier gedurende de stage naartoe werken.</t>
  </si>
  <si>
    <t xml:space="preserve">Zelfstandig kleine projecten of onderzoeken uitvoeren die waarde toevoegen aan de organisatie.</t>
  </si>
  <si>
    <t xml:space="preserve">Veilingadviseur overheid</t>
  </si>
  <si>
    <t xml:space="preserve">Opvolgen van door @Sales binnendienst overheid (https://nl.glassfrog.com/organizations/32054/orgnav/roles/14022706) aangeleverde prospects</t>
  </si>
  <si>
    <t xml:space="preserve">Overtuigen van prospects over de voordelen en succesfactoren van de inzet van effectieve veilingen</t>
  </si>
  <si>
    <t xml:space="preserve">Onderhouden van relaties met opdrachtgevers</t>
  </si>
  <si>
    <t xml:space="preserve">Bespreken van gunningen</t>
  </si>
  <si>
    <t xml:space="preserve">Accorderen van afrekeningen</t>
  </si>
  <si>
    <t xml:space="preserve">Vertegenwoordigen van OVM tijdens beurzen en netwerkbijeenkomsten</t>
  </si>
  <si>
    <t xml:space="preserve">Spotten van kansen in de markt en die doorgeven aan @Sales binnendienst overheid (https://nl.glassfrog.com/organizations/32054/orgnav/roles/14022706)</t>
  </si>
  <si>
    <t xml:space="preserve">Ontwikkelen en waarborgen van de merkidentiteit</t>
  </si>
  <si>
    <t xml:space="preserve">Ontwikkelen van effectieve campagnes gericht op potentiële kopers</t>
  </si>
  <si>
    <t xml:space="preserve">Monitoren en bijsturen van de resultaten van campagnes</t>
  </si>
  <si>
    <t xml:space="preserve">Verhogen van de bekendheid binnen de groep suspects</t>
  </si>
  <si>
    <t xml:space="preserve">Opdrachtgevers verrassen met maximale opbrengst</t>
  </si>
  <si>
    <t xml:space="preserve">Concurrenten scherp in de gaten houden en snel inspelen op marktontwikkelingen</t>
  </si>
  <si>
    <t xml:space="preserve">Affiliate marketeer</t>
  </si>
  <si>
    <t xml:space="preserve">Beheren + onderhouden samenwerking met Awin</t>
  </si>
  <si>
    <t xml:space="preserve">Contact onderhouden met affiliates</t>
  </si>
  <si>
    <t xml:space="preserve">Controleren van content van affiliates</t>
  </si>
  <si>
    <t xml:space="preserve">Analyseren van de uitkomsten uit affiliate netwerken</t>
  </si>
  <si>
    <t xml:space="preserve">Relationeel/juridisch/zeggenschap ('netwerk'): blijft bij de mens.</t>
  </si>
  <si>
    <t xml:space="preserve">Af- en goedkeuren van affiliates</t>
  </si>
  <si>
    <t xml:space="preserve">Ooit</t>
  </si>
  <si>
    <t xml:space="preserve">Brandmarketeer</t>
  </si>
  <si>
    <t xml:space="preserve">Het ontwikkelen van de merkidentiteit</t>
  </si>
  <si>
    <t xml:space="preserve">Het vastleggen en up to date houden van de merkidentiteit</t>
  </si>
  <si>
    <t xml:space="preserve">Het doorvoeren van de merkidentiteit</t>
  </si>
  <si>
    <t xml:space="preserve">Het vastleggen en up to date houden van de media inzet</t>
  </si>
  <si>
    <t xml:space="preserve">Het borgen en up to date houden van alle activatiecampagnes</t>
  </si>
  <si>
    <t xml:space="preserve">Data analist</t>
  </si>
  <si>
    <t xml:space="preserve">Vertalen van doelen naar meetbare indicatoren</t>
  </si>
  <si>
    <t xml:space="preserve">Monitoren van prestaties en signaleren van bottlenecks</t>
  </si>
  <si>
    <t xml:space="preserve">Verzamelen en Analyseren van data en vertalen naar concrete aanbevelingen voor relevante rollen</t>
  </si>
  <si>
    <t xml:space="preserve">Opzetten van online experimenten (zoals A/B testing)</t>
  </si>
  <si>
    <t xml:space="preserve">Beheren van Copernica profielen</t>
  </si>
  <si>
    <t xml:space="preserve">Beheren en ontwikkelen van samenwerking met Insider</t>
  </si>
  <si>
    <t xml:space="preserve">E-mail marketeer</t>
  </si>
  <si>
    <t xml:space="preserve">Bijhouden van e-maillijsten</t>
  </si>
  <si>
    <t xml:space="preserve">Vertalen van doelen naar een passende e-mailstrategie</t>
  </si>
  <si>
    <t xml:space="preserve">Organiseren van e-mail content</t>
  </si>
  <si>
    <t xml:space="preserve">Maken en versturen van nieuwsbrieven</t>
  </si>
  <si>
    <t xml:space="preserve">IT aanspreekpunt</t>
  </si>
  <si>
    <t xml:space="preserve">Doorgeven van issues aan IT</t>
  </si>
  <si>
    <t xml:space="preserve">Prioriteren issues van IT</t>
  </si>
  <si>
    <t xml:space="preserve">Het controleren van doorgegeven issues</t>
  </si>
  <si>
    <t xml:space="preserve">Bijwonen van maandelijkse IT marketing meeting</t>
  </si>
  <si>
    <t xml:space="preserve">Klantonderzoeker</t>
  </si>
  <si>
    <t xml:space="preserve">In beeld brengen hoe onze huidige database eruit ziet</t>
  </si>
  <si>
    <t xml:space="preserve">Vragen en versturen van enquêtes naar database</t>
  </si>
  <si>
    <t xml:space="preserve">Data + uitkomsten gebruiken om te verbeteren</t>
  </si>
  <si>
    <t xml:space="preserve">Marketing Coördinator</t>
  </si>
  <si>
    <t xml:space="preserve">Identificeren van doelgroepen per veiling</t>
  </si>
  <si>
    <t xml:space="preserve">Bepalen van marketing-inspanningen per veiling</t>
  </si>
  <si>
    <t xml:space="preserve">Actief ophalen van relevante informatie bij veilingadviseurs en/of directie</t>
  </si>
  <si>
    <t xml:space="preserve">Coördineren van marketinginspanningen</t>
  </si>
  <si>
    <t xml:space="preserve">Monitoren en bijsturen op voortgang van marketing doelstellingen</t>
  </si>
  <si>
    <t xml:space="preserve">Online advertising</t>
  </si>
  <si>
    <t xml:space="preserve">Vertalen van doelen en strategieën naar operationeel uitvoerbare acties voor advertenties</t>
  </si>
  <si>
    <t xml:space="preserve">Maken van advertentie segmenten</t>
  </si>
  <si>
    <t xml:space="preserve">Maken en optimaliseren van campagnes en advertenties</t>
  </si>
  <si>
    <t xml:space="preserve">Vinden en inzetten van geschikte adverentieplatformen en/of websites</t>
  </si>
  <si>
    <t xml:space="preserve">Wacht op</t>
  </si>
  <si>
    <t xml:space="preserve">Opdrachtgeversmarketeer</t>
  </si>
  <si>
    <t xml:space="preserve">Leadgeneratie campagnes bedenken en coördineren</t>
  </si>
  <si>
    <t xml:space="preserve">Sales middelen coördineren</t>
  </si>
  <si>
    <t xml:space="preserve">Signaleren van kans in de markt</t>
  </si>
  <si>
    <t xml:space="preserve">Het aanspreekpunt zijn tussen marketing en sales omtrent een leadgeneratie</t>
  </si>
  <si>
    <t xml:space="preserve">Pers en PR Marketeer</t>
  </si>
  <si>
    <t xml:space="preserve">Het maken van persberichten</t>
  </si>
  <si>
    <t xml:space="preserve">Het onderhouden van contacten met pers</t>
  </si>
  <si>
    <t xml:space="preserve">Managen van woordvoerders</t>
  </si>
  <si>
    <t xml:space="preserve">Het beheren van perstools</t>
  </si>
  <si>
    <t xml:space="preserve">SEO Marketeer</t>
  </si>
  <si>
    <t xml:space="preserve">Blogs creëren voor SEO Zoekwoord onderzoek</t>
  </si>
  <si>
    <t xml:space="preserve">Monitoren van ranking</t>
  </si>
  <si>
    <t xml:space="preserve">Verantwoordelijk voor interne en externe links</t>
  </si>
  <si>
    <t xml:space="preserve">Social media Marketing</t>
  </si>
  <si>
    <t xml:space="preserve">Creëren van social media content</t>
  </si>
  <si>
    <t xml:space="preserve">Beheren van social media kanalen en content</t>
  </si>
  <si>
    <t xml:space="preserve">Evalueren van engagement op social media</t>
  </si>
  <si>
    <t xml:space="preserve">Sponsoring</t>
  </si>
  <si>
    <t xml:space="preserve">Sponsoraanvragen beoordelen</t>
  </si>
  <si>
    <t xml:space="preserve">Sponsoruitvoering organiseren en waarborgen Sponsordeals afronden</t>
  </si>
  <si>
    <t xml:space="preserve">Aanspreekpunt zijn voor de gesponsorde organisatie</t>
  </si>
  <si>
    <t xml:space="preserve">Goede doelen veilingen managen</t>
  </si>
  <si>
    <t xml:space="preserve">Werkt aan de opdrachten van zijn/haar studie</t>
  </si>
  <si>
    <t xml:space="preserve">Werkt als allround marketing medewerker mee in het team</t>
  </si>
  <si>
    <t xml:space="preserve">Vormgever</t>
  </si>
  <si>
    <t xml:space="preserve">Vertalen van doelen naar ideeën voor graphics, foto en video</t>
  </si>
  <si>
    <t xml:space="preserve">Maken van visuele assets</t>
  </si>
  <si>
    <t xml:space="preserve">Vinden en beheren van visuele assets</t>
  </si>
  <si>
    <t xml:space="preserve">Website beheerder</t>
  </si>
  <si>
    <t xml:space="preserve">Aanmaken, actualiseren en optimaliseren van bestaande content op alle OVM- websites</t>
  </si>
  <si>
    <t xml:space="preserve">Zorgen voor correcte, actuele en passende vertalingen van de content gemaakt door vormgever in het Engels en Duits.</t>
  </si>
  <si>
    <t xml:space="preserve">Bedenken en waarborgen van HR-processen</t>
  </si>
  <si>
    <t xml:space="preserve">Waarborgen van bedrijfsfilosofie en strategie</t>
  </si>
  <si>
    <t xml:space="preserve">Waarborgen van wet- en regelgeving</t>
  </si>
  <si>
    <t xml:space="preserve">Kansen spotten en verzilveren mbt subsidies</t>
  </si>
  <si>
    <t xml:space="preserve">Arbeidsvoorwaarden</t>
  </si>
  <si>
    <t xml:space="preserve">Implementeren van arbeidsvoorwaarden</t>
  </si>
  <si>
    <t xml:space="preserve">Borgen van arbeidsvoorwaarden</t>
  </si>
  <si>
    <t xml:space="preserve">Evalueren en verbeteren van arbeidsvoorwaarden</t>
  </si>
  <si>
    <t xml:space="preserve">HR administratie</t>
  </si>
  <si>
    <t xml:space="preserve">Vastleggen van arbeidsvoorwaardelijke afspraken in contracten</t>
  </si>
  <si>
    <t xml:space="preserve">Bijhouden van salarisadministratie</t>
  </si>
  <si>
    <t xml:space="preserve">Bijhouden en actualiseren van Numbers</t>
  </si>
  <si>
    <t xml:space="preserve">Contactpersoon met pensioenadviseur en informeren van de organisatie over wijzigingen</t>
  </si>
  <si>
    <t xml:space="preserve">Monitoren van relevante wet- en regelgeving</t>
  </si>
  <si>
    <t xml:space="preserve">Bijhouden van het personeelshandboek</t>
  </si>
  <si>
    <t xml:space="preserve">HR-visie</t>
  </si>
  <si>
    <t xml:space="preserve">Ontwikkelen en actualiseren van personeelsbeleid</t>
  </si>
  <si>
    <t xml:space="preserve">Ontwikkelen van beleid voor ontwikkeling van medewerkers</t>
  </si>
  <si>
    <t xml:space="preserve">Bijhouden van relevante externe ontwikkelingen en omzetten naar kansen voor de organisatie</t>
  </si>
  <si>
    <t xml:space="preserve">Borgen van kernwaarden in de organisatie</t>
  </si>
  <si>
    <t xml:space="preserve">Leuke dingen</t>
  </si>
  <si>
    <t xml:space="preserve">Plannen van uitjes van bijzonderheden</t>
  </si>
  <si>
    <t xml:space="preserve">Lief en leed</t>
  </si>
  <si>
    <t xml:space="preserve">Regelen van passende attenties voor medewerkers</t>
  </si>
  <si>
    <t xml:space="preserve">Informeren van collega’s over bijzondere gebeurtenissen</t>
  </si>
  <si>
    <t xml:space="preserve">Bijhouden van een lijst van bijzondere gebeurtenissen</t>
  </si>
  <si>
    <t xml:space="preserve">Delen van informatie met nieuwe werknemers</t>
  </si>
  <si>
    <t xml:space="preserve">Data-/proceswerk ('delen'): te automatiseren door een agent.</t>
  </si>
  <si>
    <t xml:space="preserve">Zorgen voor een hele mooie eerste werkdag</t>
  </si>
  <si>
    <t xml:space="preserve">Introduceren van nieuwe werknemers in de organisatie</t>
  </si>
  <si>
    <t xml:space="preserve">Opstellen van inwerkprogramma's</t>
  </si>
  <si>
    <t xml:space="preserve">Selectie</t>
  </si>
  <si>
    <t xml:space="preserve">Beoordelen van CV's en brieven</t>
  </si>
  <si>
    <t xml:space="preserve">Faciliteren van sollicatiegesprekken</t>
  </si>
  <si>
    <t xml:space="preserve">Adviseren van leadlinks over kandidaten</t>
  </si>
  <si>
    <t xml:space="preserve">Coördineren van inzet externe partijen</t>
  </si>
  <si>
    <t xml:space="preserve">Spanningpartner</t>
  </si>
  <si>
    <t xml:space="preserve">Verhelderen van spanningen bij collega's.</t>
  </si>
  <si>
    <t xml:space="preserve">Begeleiden van het oplossen van spanningen met roldenken.</t>
  </si>
  <si>
    <t xml:space="preserve">Omzetten van spanningen in concrete verbeteracties.</t>
  </si>
  <si>
    <t xml:space="preserve">Steun en toeverlaat</t>
  </si>
  <si>
    <t xml:space="preserve">Collega’s veilige ruimte geven om gevoelens en emoties te delen</t>
  </si>
  <si>
    <t xml:space="preserve">Regelmatig inchecken bij collega’s om te verhelderen wat ze nodig hebben</t>
  </si>
  <si>
    <t xml:space="preserve">Spreekbuis richting de collega’s en organisatie om collega’s maximale support te bieden</t>
  </si>
  <si>
    <t xml:space="preserve">Urenadministratie</t>
  </si>
  <si>
    <t xml:space="preserve">Sluiten va alle urenregistratie weken van medewerkers in verloningsperiode</t>
  </si>
  <si>
    <t xml:space="preserve">Exporteren van uren van een verloningsperiode</t>
  </si>
  <si>
    <t xml:space="preserve">Controleren van export</t>
  </si>
  <si>
    <t xml:space="preserve">Opmaken van verloningslijst en delen met @HR administratie (https://nl.glassfrog.com/organizations/32054/orgnav/roles/13926380)</t>
  </si>
  <si>
    <t xml:space="preserve">Aanmaken van nieuwe medewerkers aanmaken</t>
  </si>
  <si>
    <t xml:space="preserve">Bepalen en invoeren van verlofsaldo's</t>
  </si>
  <si>
    <t xml:space="preserve">Rapporteren over huidige verlof saldo's</t>
  </si>
  <si>
    <t xml:space="preserve">Verzuim</t>
  </si>
  <si>
    <t xml:space="preserve">Inschakelen van de arbo-dienst</t>
  </si>
  <si>
    <t xml:space="preserve">Signaleren van risicogevallen</t>
  </si>
  <si>
    <t xml:space="preserve">Ontwikkelen van verzuimbeleid</t>
  </si>
  <si>
    <t xml:space="preserve">Werving</t>
  </si>
  <si>
    <t xml:space="preserve">Inventariseren van vacature-profiel</t>
  </si>
  <si>
    <t xml:space="preserve">Opstellen van vacature tekst</t>
  </si>
  <si>
    <t xml:space="preserve">Maken van een wervingsplan in afstemming met @Marketing Coördinator (https://nl.glassfrog.com/organizations/32054/orgnav/roles/13868038)</t>
  </si>
  <si>
    <t xml:space="preserve">Inzetten van externe partijen</t>
  </si>
  <si>
    <t xml:space="preserve">Plaatsen en verspreiden van vacatures op verschillende kanalen</t>
  </si>
  <si>
    <t xml:space="preserve">Uitvoeren van operationele acties</t>
  </si>
  <si>
    <t xml:space="preserve">Voortdurend verbeteren van operationele processen</t>
  </si>
  <si>
    <t xml:space="preserve">Zorgen voor een uitstekende ervaring voor zowel opdrachtgevers als kopers</t>
  </si>
  <si>
    <t xml:space="preserve">Administratie</t>
  </si>
  <si>
    <t xml:space="preserve">Accorderen van uren werknemers</t>
  </si>
  <si>
    <t xml:space="preserve">Accorderen van facturen KM-registratie</t>
  </si>
  <si>
    <t xml:space="preserve">Aanmaken van crediteuren</t>
  </si>
  <si>
    <t xml:space="preserve">Nalopen van openstaande facturen</t>
  </si>
  <si>
    <t xml:space="preserve">Bijwerken van forecast</t>
  </si>
  <si>
    <t xml:space="preserve">Data-/proceswerk ('bijwerken'): te automatiseren door een agent.</t>
  </si>
  <si>
    <t xml:space="preserve">Back-office</t>
  </si>
  <si>
    <t xml:space="preserve">Controleren en online publiceren van aangeleverde veilingen</t>
  </si>
  <si>
    <t xml:space="preserve">Doorvoeren van wijzigingen aan kavels en veilingen</t>
  </si>
  <si>
    <t xml:space="preserve">Mailen van bieders met relevante informatie.</t>
  </si>
  <si>
    <t xml:space="preserve">Versturen van kavellijsten, orderpicklijsten en verzendlijsten.</t>
  </si>
  <si>
    <t xml:space="preserve">Bepalen wat klanten wel/niet zelfstandig kunnen aanpassen</t>
  </si>
  <si>
    <t xml:space="preserve">Versturen van kavelstickers naar opdrachtgevers</t>
  </si>
  <si>
    <t xml:space="preserve">DRZ-aftersale voertuigen</t>
  </si>
  <si>
    <t xml:space="preserve">Coördineren van vrijwaringen en kentenbewijzen</t>
  </si>
  <si>
    <t xml:space="preserve">Coördineren van het after-sales proces</t>
  </si>
  <si>
    <t xml:space="preserve">Operationeel Projectleider</t>
  </si>
  <si>
    <t xml:space="preserve">Toezicht houden op succesvolle kijkdagen met professionele en klantvriendelijkeontvangst.</t>
  </si>
  <si>
    <t xml:space="preserve">Begeleiden van afgiftedagen om een correcte overdracht van kavels te waarborgen.</t>
  </si>
  <si>
    <t xml:space="preserve">Zorgen voor een bezemschone oplevering van de veilinglocatie</t>
  </si>
  <si>
    <t xml:space="preserve">Behandelen en oplossen van klachten rondom veilingen.</t>
  </si>
  <si>
    <t xml:space="preserve">Realiseren van projectuitvoering conform de veilingbevestiging.</t>
  </si>
  <si>
    <t xml:space="preserve">Planning</t>
  </si>
  <si>
    <t xml:space="preserve">Plannen van personeel</t>
  </si>
  <si>
    <t xml:space="preserve">Plannen van veilingen</t>
  </si>
  <si>
    <t xml:space="preserve">Plannen van auto’s</t>
  </si>
  <si>
    <t xml:space="preserve">Teamleider</t>
  </si>
  <si>
    <t xml:space="preserve">Geven van dagelijkse leiding op de werkvloer van de betreffende veilingen.</t>
  </si>
  <si>
    <t xml:space="preserve">Controleren van veilingbevestigingen op volledigheid en duidelijkheid bij ontvangstvan veilingadviseur</t>
  </si>
  <si>
    <t xml:space="preserve">Houd planning en deadlines in de gaten en stuurt zo nodig bij met middelen.</t>
  </si>
  <si>
    <t xml:space="preserve">Briefen van Marketing over aankomende veilingen.</t>
  </si>
  <si>
    <t xml:space="preserve">Veilingbeleid</t>
  </si>
  <si>
    <t xml:space="preserve">Borgen van alle processen omtrent het vastgestelde veilingbeleid</t>
  </si>
  <si>
    <t xml:space="preserve">Verbeteringen signaleren en doorvoeren in het veilingbeleid in overleg met Operationeel Directeur</t>
  </si>
  <si>
    <t xml:space="preserve">Controleren of er wordt gehandeld conform het vastgestelde veilingbeleid</t>
  </si>
  <si>
    <t xml:space="preserve">Veilingmedewerker</t>
  </si>
  <si>
    <t xml:space="preserve">Gereedmaken van de veilinglocatie voor verkoop door op te ruimen en schoon te maken.</t>
  </si>
  <si>
    <t xml:space="preserve">Optimaal etaleren van de te veilen goederen (kavels).</t>
  </si>
  <si>
    <t xml:space="preserve">Voorzien van de kavels van het juiste kavelnummer.</t>
  </si>
  <si>
    <t xml:space="preserve">Omschrijven van de kavels volgens de gehanteerde richtlijnen.</t>
  </si>
  <si>
    <t xml:space="preserve">Fotograferen van de kavels voor een optimale online presentatie.</t>
  </si>
  <si>
    <t xml:space="preserve">Meewerken tijdens kijk- en afgiftedagen.</t>
  </si>
  <si>
    <t xml:space="preserve">Teamleider zelfstandige werkende opdrachtgevers</t>
  </si>
  <si>
    <t xml:space="preserve">Verwerken van veilingen voor zelfstandige opdrachtgevers</t>
  </si>
  <si>
    <t xml:space="preserve">Onderhouden van contacten met zelfstandige opdrachtgevers</t>
  </si>
  <si>
    <t xml:space="preserve">Verzamelen van gegevens en maken van een briefingsdocument</t>
  </si>
  <si>
    <t xml:space="preserve">Tuincentrum Hardenberg</t>
  </si>
  <si>
    <t xml:space="preserve">Crediteurenbeheer</t>
  </si>
  <si>
    <t xml:space="preserve">Debiteurenbeheer</t>
  </si>
  <si>
    <t xml:space="preserve">Mailbox</t>
  </si>
  <si>
    <t xml:space="preserve">OVM (Onlineveilingmeester.nl) — mens vs. AI per accountability</t>
  </si>
  <si>
    <t xml:space="preserve">Verdeling van alle accountabilities</t>
  </si>
  <si>
    <t xml:space="preserve">AI (autonoom door een agent)</t>
  </si>
  <si>
    <t xml:space="preserve">Hybride (AI voorwerk, mens beslist/handelt)</t>
  </si>
  <si>
    <t xml:space="preserve">Mens (moet door een mens)</t>
  </si>
  <si>
    <t xml:space="preserve">Totaal accountabilities</t>
  </si>
  <si>
    <t xml:space="preserve">Lezen als</t>
  </si>
  <si>
    <t xml:space="preserve">AI = direct kandidaat om binnen de rol door een agent te laten doen.</t>
  </si>
  <si>
    <t xml:space="preserve">Hybride = agent doet het voorwerk, de rolhouder beslist of doet het relationele/fysieke deel.</t>
  </si>
  <si>
    <t xml:space="preserve">Mens = blijft bij de rolhouder (relatie, juridisch, fysiek, zeggenschap).</t>
  </si>
  <si>
    <t xml:space="preserve">De rol blijft van een mens; AI-agents pakken specifieke accountabilities op (jouw visie).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</si>
</sst>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9C65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1B8"/>
        <bgColor rgb="FFFFEB9C"/>
      </patternFill>
    </fill>
    <fill>
      <patternFill patternType="solid">
        <fgColor rgb="FF16323A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1B8"/>
      </patternFill>
    </fill>
    <fill>
      <patternFill patternType="solid">
        <fgColor rgb="FFBDD7EE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4C0"/>
      </left>
      <right style="thin">
        <color rgb="FFDDD4C0"/>
      </right>
      <top style="thin">
        <color rgb="FFDDD4C0"/>
      </top>
      <bottom style="thin">
        <color rgb="FFDDD4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632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DDD4C0"/>
      <rgbColor rgb="FF808080"/>
      <rgbColor rgb="FF9999FF"/>
      <rgbColor rgb="FF993366"/>
      <rgbColor rgb="FFFFF1B8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63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26.85" hidden="false" customHeight="false" outlineLevel="0" collapsed="false">
      <c r="A3" s="3" t="s">
        <v>7</v>
      </c>
      <c r="B3" s="3" t="s">
        <v>8</v>
      </c>
      <c r="C3" s="4" t="s">
        <v>9</v>
      </c>
      <c r="D3" s="5" t="s">
        <v>10</v>
      </c>
      <c r="E3" s="6" t="s">
        <v>11</v>
      </c>
      <c r="F3" s="4" t="s">
        <v>12</v>
      </c>
    </row>
    <row r="4" customFormat="false" ht="26.85" hidden="false" customHeight="false" outlineLevel="0" collapsed="false">
      <c r="A4" s="3" t="s">
        <v>7</v>
      </c>
      <c r="B4" s="3" t="s">
        <v>8</v>
      </c>
      <c r="C4" s="4" t="s">
        <v>13</v>
      </c>
      <c r="D4" s="5" t="s">
        <v>10</v>
      </c>
      <c r="E4" s="6" t="s">
        <v>11</v>
      </c>
      <c r="F4" s="4" t="s">
        <v>12</v>
      </c>
    </row>
    <row r="5" customFormat="false" ht="26.85" hidden="false" customHeight="false" outlineLevel="0" collapsed="false">
      <c r="A5" s="3" t="s">
        <v>7</v>
      </c>
      <c r="B5" s="3" t="s">
        <v>8</v>
      </c>
      <c r="C5" s="4" t="s">
        <v>14</v>
      </c>
      <c r="D5" s="5" t="s">
        <v>10</v>
      </c>
      <c r="E5" s="6" t="s">
        <v>11</v>
      </c>
      <c r="F5" s="4" t="s">
        <v>15</v>
      </c>
    </row>
    <row r="6" customFormat="false" ht="39.55" hidden="false" customHeight="false" outlineLevel="0" collapsed="false">
      <c r="A6" s="3" t="s">
        <v>7</v>
      </c>
      <c r="B6" s="3" t="s">
        <v>8</v>
      </c>
      <c r="C6" s="4" t="s">
        <v>16</v>
      </c>
      <c r="D6" s="7" t="s">
        <v>17</v>
      </c>
      <c r="E6" s="6" t="s">
        <v>18</v>
      </c>
      <c r="F6" s="4" t="s">
        <v>19</v>
      </c>
    </row>
    <row r="7" customFormat="false" ht="26.85" hidden="false" customHeight="false" outlineLevel="0" collapsed="false">
      <c r="A7" s="3" t="s">
        <v>20</v>
      </c>
      <c r="B7" s="3" t="s">
        <v>21</v>
      </c>
      <c r="C7" s="4" t="s">
        <v>22</v>
      </c>
      <c r="D7" s="5" t="s">
        <v>10</v>
      </c>
      <c r="E7" s="6" t="s">
        <v>11</v>
      </c>
      <c r="F7" s="4" t="s">
        <v>23</v>
      </c>
    </row>
    <row r="8" customFormat="false" ht="26.85" hidden="false" customHeight="false" outlineLevel="0" collapsed="false">
      <c r="A8" s="3" t="s">
        <v>20</v>
      </c>
      <c r="B8" s="3" t="s">
        <v>21</v>
      </c>
      <c r="C8" s="4" t="s">
        <v>24</v>
      </c>
      <c r="D8" s="5" t="s">
        <v>10</v>
      </c>
      <c r="E8" s="6" t="s">
        <v>11</v>
      </c>
      <c r="F8" s="4" t="s">
        <v>25</v>
      </c>
    </row>
    <row r="9" customFormat="false" ht="26.85" hidden="false" customHeight="false" outlineLevel="0" collapsed="false">
      <c r="A9" s="3" t="s">
        <v>20</v>
      </c>
      <c r="B9" s="3" t="s">
        <v>21</v>
      </c>
      <c r="C9" s="4" t="s">
        <v>26</v>
      </c>
      <c r="D9" s="5" t="s">
        <v>10</v>
      </c>
      <c r="E9" s="6" t="s">
        <v>11</v>
      </c>
      <c r="F9" s="4" t="s">
        <v>23</v>
      </c>
    </row>
    <row r="10" customFormat="false" ht="26.85" hidden="false" customHeight="false" outlineLevel="0" collapsed="false">
      <c r="A10" s="3" t="s">
        <v>20</v>
      </c>
      <c r="B10" s="3" t="s">
        <v>21</v>
      </c>
      <c r="C10" s="4" t="s">
        <v>27</v>
      </c>
      <c r="D10" s="5" t="s">
        <v>10</v>
      </c>
      <c r="E10" s="6" t="s">
        <v>11</v>
      </c>
      <c r="F10" s="4" t="s">
        <v>25</v>
      </c>
    </row>
    <row r="11" customFormat="false" ht="26.85" hidden="false" customHeight="false" outlineLevel="0" collapsed="false">
      <c r="A11" s="3" t="s">
        <v>20</v>
      </c>
      <c r="B11" s="3" t="s">
        <v>21</v>
      </c>
      <c r="C11" s="4" t="s">
        <v>28</v>
      </c>
      <c r="D11" s="7" t="s">
        <v>17</v>
      </c>
      <c r="E11" s="6" t="s">
        <v>18</v>
      </c>
      <c r="F11" s="4" t="s">
        <v>19</v>
      </c>
    </row>
    <row r="12" customFormat="false" ht="26.85" hidden="false" customHeight="false" outlineLevel="0" collapsed="false">
      <c r="A12" s="3" t="s">
        <v>29</v>
      </c>
      <c r="B12" s="3" t="s">
        <v>30</v>
      </c>
      <c r="C12" s="4" t="s">
        <v>31</v>
      </c>
      <c r="D12" s="7" t="s">
        <v>17</v>
      </c>
      <c r="E12" s="6" t="s">
        <v>18</v>
      </c>
      <c r="F12" s="4" t="s">
        <v>19</v>
      </c>
    </row>
    <row r="13" customFormat="false" ht="26.85" hidden="false" customHeight="false" outlineLevel="0" collapsed="false">
      <c r="A13" s="3" t="s">
        <v>29</v>
      </c>
      <c r="B13" s="3" t="s">
        <v>30</v>
      </c>
      <c r="C13" s="4" t="s">
        <v>32</v>
      </c>
      <c r="D13" s="5" t="s">
        <v>10</v>
      </c>
      <c r="E13" s="6" t="s">
        <v>11</v>
      </c>
      <c r="F13" s="4" t="s">
        <v>33</v>
      </c>
    </row>
    <row r="14" customFormat="false" ht="26.85" hidden="false" customHeight="false" outlineLevel="0" collapsed="false">
      <c r="A14" s="3" t="s">
        <v>29</v>
      </c>
      <c r="B14" s="3" t="s">
        <v>30</v>
      </c>
      <c r="C14" s="4" t="s">
        <v>34</v>
      </c>
      <c r="D14" s="7" t="s">
        <v>17</v>
      </c>
      <c r="E14" s="6" t="s">
        <v>18</v>
      </c>
      <c r="F14" s="4" t="s">
        <v>19</v>
      </c>
    </row>
    <row r="15" customFormat="false" ht="26.85" hidden="false" customHeight="false" outlineLevel="0" collapsed="false">
      <c r="A15" s="3" t="s">
        <v>29</v>
      </c>
      <c r="B15" s="3" t="s">
        <v>30</v>
      </c>
      <c r="C15" s="4" t="s">
        <v>35</v>
      </c>
      <c r="D15" s="7" t="s">
        <v>17</v>
      </c>
      <c r="E15" s="6" t="s">
        <v>18</v>
      </c>
      <c r="F15" s="4" t="s">
        <v>19</v>
      </c>
    </row>
    <row r="16" customFormat="false" ht="26.85" hidden="false" customHeight="false" outlineLevel="0" collapsed="false">
      <c r="A16" s="3" t="s">
        <v>29</v>
      </c>
      <c r="B16" s="3" t="s">
        <v>30</v>
      </c>
      <c r="C16" s="4" t="s">
        <v>36</v>
      </c>
      <c r="D16" s="5" t="s">
        <v>10</v>
      </c>
      <c r="E16" s="6" t="s">
        <v>11</v>
      </c>
      <c r="F16" s="4" t="s">
        <v>37</v>
      </c>
    </row>
    <row r="17" customFormat="false" ht="26.85" hidden="false" customHeight="false" outlineLevel="0" collapsed="false">
      <c r="A17" s="3" t="s">
        <v>29</v>
      </c>
      <c r="B17" s="3" t="s">
        <v>30</v>
      </c>
      <c r="C17" s="4" t="s">
        <v>38</v>
      </c>
      <c r="D17" s="7" t="s">
        <v>17</v>
      </c>
      <c r="E17" s="6" t="s">
        <v>18</v>
      </c>
      <c r="F17" s="4" t="s">
        <v>19</v>
      </c>
    </row>
    <row r="18" customFormat="false" ht="26.85" hidden="false" customHeight="false" outlineLevel="0" collapsed="false">
      <c r="A18" s="3" t="s">
        <v>29</v>
      </c>
      <c r="B18" s="3" t="s">
        <v>30</v>
      </c>
      <c r="C18" s="4" t="s">
        <v>39</v>
      </c>
      <c r="D18" s="7" t="s">
        <v>17</v>
      </c>
      <c r="E18" s="6" t="s">
        <v>18</v>
      </c>
      <c r="F18" s="4" t="s">
        <v>19</v>
      </c>
    </row>
    <row r="19" customFormat="false" ht="26.85" hidden="false" customHeight="false" outlineLevel="0" collapsed="false">
      <c r="A19" s="3" t="s">
        <v>29</v>
      </c>
      <c r="B19" s="3" t="s">
        <v>30</v>
      </c>
      <c r="C19" s="4" t="s">
        <v>40</v>
      </c>
      <c r="D19" s="7" t="s">
        <v>17</v>
      </c>
      <c r="E19" s="6" t="s">
        <v>18</v>
      </c>
      <c r="F19" s="4" t="s">
        <v>19</v>
      </c>
    </row>
    <row r="20" customFormat="false" ht="26.85" hidden="false" customHeight="false" outlineLevel="0" collapsed="false">
      <c r="A20" s="3" t="s">
        <v>29</v>
      </c>
      <c r="B20" s="3" t="s">
        <v>30</v>
      </c>
      <c r="C20" s="4" t="s">
        <v>41</v>
      </c>
      <c r="D20" s="7" t="s">
        <v>17</v>
      </c>
      <c r="E20" s="6" t="s">
        <v>18</v>
      </c>
      <c r="F20" s="4" t="s">
        <v>19</v>
      </c>
    </row>
    <row r="21" customFormat="false" ht="26.85" hidden="false" customHeight="false" outlineLevel="0" collapsed="false">
      <c r="A21" s="3" t="s">
        <v>7</v>
      </c>
      <c r="B21" s="3" t="s">
        <v>42</v>
      </c>
      <c r="C21" s="4" t="s">
        <v>43</v>
      </c>
      <c r="D21" s="7" t="s">
        <v>17</v>
      </c>
      <c r="E21" s="6" t="s">
        <v>18</v>
      </c>
      <c r="F21" s="4" t="s">
        <v>19</v>
      </c>
    </row>
    <row r="22" customFormat="false" ht="26.85" hidden="false" customHeight="false" outlineLevel="0" collapsed="false">
      <c r="A22" s="3" t="s">
        <v>7</v>
      </c>
      <c r="B22" s="3" t="s">
        <v>42</v>
      </c>
      <c r="C22" s="4" t="s">
        <v>44</v>
      </c>
      <c r="D22" s="7" t="s">
        <v>17</v>
      </c>
      <c r="E22" s="6" t="s">
        <v>18</v>
      </c>
      <c r="F22" s="4" t="s">
        <v>19</v>
      </c>
    </row>
    <row r="23" customFormat="false" ht="26.85" hidden="false" customHeight="false" outlineLevel="0" collapsed="false">
      <c r="A23" s="3" t="s">
        <v>7</v>
      </c>
      <c r="B23" s="3" t="s">
        <v>42</v>
      </c>
      <c r="C23" s="4" t="s">
        <v>45</v>
      </c>
      <c r="D23" s="5" t="s">
        <v>10</v>
      </c>
      <c r="E23" s="6" t="s">
        <v>11</v>
      </c>
      <c r="F23" s="4" t="s">
        <v>15</v>
      </c>
    </row>
    <row r="24" customFormat="false" ht="26.85" hidden="false" customHeight="false" outlineLevel="0" collapsed="false">
      <c r="A24" s="3" t="s">
        <v>29</v>
      </c>
      <c r="B24" s="3" t="s">
        <v>8</v>
      </c>
      <c r="C24" s="4" t="s">
        <v>9</v>
      </c>
      <c r="D24" s="5" t="s">
        <v>10</v>
      </c>
      <c r="E24" s="6" t="s">
        <v>11</v>
      </c>
      <c r="F24" s="4" t="s">
        <v>12</v>
      </c>
    </row>
    <row r="25" customFormat="false" ht="26.85" hidden="false" customHeight="false" outlineLevel="0" collapsed="false">
      <c r="A25" s="3" t="s">
        <v>29</v>
      </c>
      <c r="B25" s="3" t="s">
        <v>8</v>
      </c>
      <c r="C25" s="4" t="s">
        <v>13</v>
      </c>
      <c r="D25" s="5" t="s">
        <v>10</v>
      </c>
      <c r="E25" s="6" t="s">
        <v>11</v>
      </c>
      <c r="F25" s="4" t="s">
        <v>12</v>
      </c>
    </row>
    <row r="26" customFormat="false" ht="26.85" hidden="false" customHeight="false" outlineLevel="0" collapsed="false">
      <c r="A26" s="3" t="s">
        <v>29</v>
      </c>
      <c r="B26" s="3" t="s">
        <v>8</v>
      </c>
      <c r="C26" s="4" t="s">
        <v>14</v>
      </c>
      <c r="D26" s="5" t="s">
        <v>10</v>
      </c>
      <c r="E26" s="6" t="s">
        <v>11</v>
      </c>
      <c r="F26" s="4" t="s">
        <v>15</v>
      </c>
    </row>
    <row r="27" customFormat="false" ht="39.55" hidden="false" customHeight="false" outlineLevel="0" collapsed="false">
      <c r="A27" s="3" t="s">
        <v>29</v>
      </c>
      <c r="B27" s="3" t="s">
        <v>8</v>
      </c>
      <c r="C27" s="4" t="s">
        <v>16</v>
      </c>
      <c r="D27" s="7" t="s">
        <v>17</v>
      </c>
      <c r="E27" s="6" t="s">
        <v>18</v>
      </c>
      <c r="F27" s="4" t="s">
        <v>19</v>
      </c>
    </row>
    <row r="28" customFormat="false" ht="26.85" hidden="false" customHeight="false" outlineLevel="0" collapsed="false">
      <c r="A28" s="3" t="s">
        <v>29</v>
      </c>
      <c r="B28" s="3" t="s">
        <v>46</v>
      </c>
      <c r="C28" s="4" t="s">
        <v>47</v>
      </c>
      <c r="D28" s="8" t="s">
        <v>48</v>
      </c>
      <c r="E28" s="6" t="s">
        <v>49</v>
      </c>
      <c r="F28" s="4" t="s">
        <v>50</v>
      </c>
    </row>
    <row r="29" customFormat="false" ht="26.85" hidden="false" customHeight="false" outlineLevel="0" collapsed="false">
      <c r="A29" s="3" t="s">
        <v>29</v>
      </c>
      <c r="B29" s="3" t="s">
        <v>46</v>
      </c>
      <c r="C29" s="4" t="s">
        <v>51</v>
      </c>
      <c r="D29" s="7" t="s">
        <v>17</v>
      </c>
      <c r="E29" s="6" t="s">
        <v>18</v>
      </c>
      <c r="F29" s="4" t="s">
        <v>19</v>
      </c>
    </row>
    <row r="30" customFormat="false" ht="26.85" hidden="false" customHeight="false" outlineLevel="0" collapsed="false">
      <c r="A30" s="3" t="s">
        <v>29</v>
      </c>
      <c r="B30" s="3" t="s">
        <v>46</v>
      </c>
      <c r="C30" s="4" t="s">
        <v>52</v>
      </c>
      <c r="D30" s="7" t="s">
        <v>17</v>
      </c>
      <c r="E30" s="6" t="s">
        <v>18</v>
      </c>
      <c r="F30" s="4" t="s">
        <v>19</v>
      </c>
    </row>
    <row r="31" customFormat="false" ht="26.85" hidden="false" customHeight="false" outlineLevel="0" collapsed="false">
      <c r="A31" s="3" t="s">
        <v>29</v>
      </c>
      <c r="B31" s="3" t="s">
        <v>46</v>
      </c>
      <c r="C31" s="4" t="s">
        <v>53</v>
      </c>
      <c r="D31" s="7" t="s">
        <v>17</v>
      </c>
      <c r="E31" s="6" t="s">
        <v>18</v>
      </c>
      <c r="F31" s="4" t="s">
        <v>19</v>
      </c>
    </row>
    <row r="32" customFormat="false" ht="26.85" hidden="false" customHeight="false" outlineLevel="0" collapsed="false">
      <c r="A32" s="3" t="s">
        <v>29</v>
      </c>
      <c r="B32" s="3" t="s">
        <v>46</v>
      </c>
      <c r="C32" s="4" t="s">
        <v>54</v>
      </c>
      <c r="D32" s="7" t="s">
        <v>17</v>
      </c>
      <c r="E32" s="6" t="s">
        <v>18</v>
      </c>
      <c r="F32" s="4" t="s">
        <v>19</v>
      </c>
    </row>
    <row r="33" customFormat="false" ht="26.85" hidden="false" customHeight="false" outlineLevel="0" collapsed="false">
      <c r="A33" s="3" t="s">
        <v>29</v>
      </c>
      <c r="B33" s="3" t="s">
        <v>21</v>
      </c>
      <c r="C33" s="4" t="s">
        <v>22</v>
      </c>
      <c r="D33" s="5" t="s">
        <v>10</v>
      </c>
      <c r="E33" s="6" t="s">
        <v>11</v>
      </c>
      <c r="F33" s="4" t="s">
        <v>23</v>
      </c>
    </row>
    <row r="34" customFormat="false" ht="26.85" hidden="false" customHeight="false" outlineLevel="0" collapsed="false">
      <c r="A34" s="3" t="s">
        <v>29</v>
      </c>
      <c r="B34" s="3" t="s">
        <v>21</v>
      </c>
      <c r="C34" s="4" t="s">
        <v>24</v>
      </c>
      <c r="D34" s="5" t="s">
        <v>10</v>
      </c>
      <c r="E34" s="6" t="s">
        <v>11</v>
      </c>
      <c r="F34" s="4" t="s">
        <v>25</v>
      </c>
    </row>
    <row r="35" customFormat="false" ht="26.85" hidden="false" customHeight="false" outlineLevel="0" collapsed="false">
      <c r="A35" s="3" t="s">
        <v>29</v>
      </c>
      <c r="B35" s="3" t="s">
        <v>21</v>
      </c>
      <c r="C35" s="4" t="s">
        <v>26</v>
      </c>
      <c r="D35" s="5" t="s">
        <v>10</v>
      </c>
      <c r="E35" s="6" t="s">
        <v>11</v>
      </c>
      <c r="F35" s="4" t="s">
        <v>23</v>
      </c>
    </row>
    <row r="36" customFormat="false" ht="26.85" hidden="false" customHeight="false" outlineLevel="0" collapsed="false">
      <c r="A36" s="3" t="s">
        <v>29</v>
      </c>
      <c r="B36" s="3" t="s">
        <v>21</v>
      </c>
      <c r="C36" s="4" t="s">
        <v>27</v>
      </c>
      <c r="D36" s="5" t="s">
        <v>10</v>
      </c>
      <c r="E36" s="6" t="s">
        <v>11</v>
      </c>
      <c r="F36" s="4" t="s">
        <v>25</v>
      </c>
    </row>
    <row r="37" customFormat="false" ht="26.85" hidden="false" customHeight="false" outlineLevel="0" collapsed="false">
      <c r="A37" s="3" t="s">
        <v>29</v>
      </c>
      <c r="B37" s="3" t="s">
        <v>21</v>
      </c>
      <c r="C37" s="4" t="s">
        <v>28</v>
      </c>
      <c r="D37" s="7" t="s">
        <v>17</v>
      </c>
      <c r="E37" s="6" t="s">
        <v>18</v>
      </c>
      <c r="F37" s="4" t="s">
        <v>19</v>
      </c>
    </row>
    <row r="38" customFormat="false" ht="26.85" hidden="false" customHeight="false" outlineLevel="0" collapsed="false">
      <c r="A38" s="3" t="s">
        <v>7</v>
      </c>
      <c r="B38" s="3" t="s">
        <v>55</v>
      </c>
      <c r="C38" s="4" t="s">
        <v>56</v>
      </c>
      <c r="D38" s="7" t="s">
        <v>17</v>
      </c>
      <c r="E38" s="6" t="s">
        <v>18</v>
      </c>
      <c r="F38" s="4" t="s">
        <v>19</v>
      </c>
    </row>
    <row r="39" customFormat="false" ht="26.85" hidden="false" customHeight="false" outlineLevel="0" collapsed="false">
      <c r="A39" s="3" t="s">
        <v>7</v>
      </c>
      <c r="B39" s="3" t="s">
        <v>55</v>
      </c>
      <c r="C39" s="4" t="s">
        <v>57</v>
      </c>
      <c r="D39" s="7" t="s">
        <v>17</v>
      </c>
      <c r="E39" s="6" t="s">
        <v>18</v>
      </c>
      <c r="F39" s="4" t="s">
        <v>19</v>
      </c>
    </row>
    <row r="40" customFormat="false" ht="26.85" hidden="false" customHeight="false" outlineLevel="0" collapsed="false">
      <c r="A40" s="3" t="s">
        <v>7</v>
      </c>
      <c r="B40" s="3" t="s">
        <v>55</v>
      </c>
      <c r="C40" s="4" t="s">
        <v>58</v>
      </c>
      <c r="D40" s="7" t="s">
        <v>17</v>
      </c>
      <c r="E40" s="6" t="s">
        <v>18</v>
      </c>
      <c r="F40" s="4" t="s">
        <v>19</v>
      </c>
    </row>
    <row r="41" customFormat="false" ht="26.85" hidden="false" customHeight="false" outlineLevel="0" collapsed="false">
      <c r="A41" s="3" t="s">
        <v>7</v>
      </c>
      <c r="B41" s="3" t="s">
        <v>55</v>
      </c>
      <c r="C41" s="4" t="s">
        <v>59</v>
      </c>
      <c r="D41" s="7" t="s">
        <v>17</v>
      </c>
      <c r="E41" s="6" t="s">
        <v>18</v>
      </c>
      <c r="F41" s="4" t="s">
        <v>19</v>
      </c>
    </row>
    <row r="42" customFormat="false" ht="26.85" hidden="false" customHeight="false" outlineLevel="0" collapsed="false">
      <c r="A42" s="3" t="s">
        <v>7</v>
      </c>
      <c r="B42" s="3" t="s">
        <v>42</v>
      </c>
      <c r="C42" s="4" t="s">
        <v>43</v>
      </c>
      <c r="D42" s="7" t="s">
        <v>17</v>
      </c>
      <c r="E42" s="6" t="s">
        <v>18</v>
      </c>
      <c r="F42" s="4" t="s">
        <v>19</v>
      </c>
    </row>
    <row r="43" customFormat="false" ht="26.85" hidden="false" customHeight="false" outlineLevel="0" collapsed="false">
      <c r="A43" s="3" t="s">
        <v>7</v>
      </c>
      <c r="B43" s="3" t="s">
        <v>42</v>
      </c>
      <c r="C43" s="4" t="s">
        <v>44</v>
      </c>
      <c r="D43" s="7" t="s">
        <v>17</v>
      </c>
      <c r="E43" s="6" t="s">
        <v>18</v>
      </c>
      <c r="F43" s="4" t="s">
        <v>19</v>
      </c>
    </row>
    <row r="44" customFormat="false" ht="26.85" hidden="false" customHeight="false" outlineLevel="0" collapsed="false">
      <c r="A44" s="3" t="s">
        <v>7</v>
      </c>
      <c r="B44" s="3" t="s">
        <v>42</v>
      </c>
      <c r="C44" s="4" t="s">
        <v>45</v>
      </c>
      <c r="D44" s="5" t="s">
        <v>10</v>
      </c>
      <c r="E44" s="6" t="s">
        <v>11</v>
      </c>
      <c r="F44" s="4" t="s">
        <v>15</v>
      </c>
    </row>
    <row r="45" customFormat="false" ht="26.85" hidden="false" customHeight="false" outlineLevel="0" collapsed="false">
      <c r="A45" s="3" t="s">
        <v>55</v>
      </c>
      <c r="B45" s="3" t="s">
        <v>8</v>
      </c>
      <c r="C45" s="4" t="s">
        <v>9</v>
      </c>
      <c r="D45" s="5" t="s">
        <v>10</v>
      </c>
      <c r="E45" s="6" t="s">
        <v>11</v>
      </c>
      <c r="F45" s="4" t="s">
        <v>12</v>
      </c>
    </row>
    <row r="46" customFormat="false" ht="26.85" hidden="false" customHeight="false" outlineLevel="0" collapsed="false">
      <c r="A46" s="3" t="s">
        <v>55</v>
      </c>
      <c r="B46" s="3" t="s">
        <v>8</v>
      </c>
      <c r="C46" s="4" t="s">
        <v>13</v>
      </c>
      <c r="D46" s="5" t="s">
        <v>10</v>
      </c>
      <c r="E46" s="6" t="s">
        <v>11</v>
      </c>
      <c r="F46" s="4" t="s">
        <v>12</v>
      </c>
    </row>
    <row r="47" customFormat="false" ht="26.85" hidden="false" customHeight="false" outlineLevel="0" collapsed="false">
      <c r="A47" s="3" t="s">
        <v>55</v>
      </c>
      <c r="B47" s="3" t="s">
        <v>8</v>
      </c>
      <c r="C47" s="4" t="s">
        <v>14</v>
      </c>
      <c r="D47" s="5" t="s">
        <v>10</v>
      </c>
      <c r="E47" s="6" t="s">
        <v>11</v>
      </c>
      <c r="F47" s="4" t="s">
        <v>15</v>
      </c>
    </row>
    <row r="48" customFormat="false" ht="39.55" hidden="false" customHeight="false" outlineLevel="0" collapsed="false">
      <c r="A48" s="3" t="s">
        <v>55</v>
      </c>
      <c r="B48" s="3" t="s">
        <v>8</v>
      </c>
      <c r="C48" s="4" t="s">
        <v>16</v>
      </c>
      <c r="D48" s="7" t="s">
        <v>17</v>
      </c>
      <c r="E48" s="6" t="s">
        <v>18</v>
      </c>
      <c r="F48" s="4" t="s">
        <v>19</v>
      </c>
    </row>
    <row r="49" customFormat="false" ht="26.85" hidden="false" customHeight="false" outlineLevel="0" collapsed="false">
      <c r="A49" s="3" t="s">
        <v>55</v>
      </c>
      <c r="B49" s="3" t="s">
        <v>60</v>
      </c>
      <c r="C49" s="4" t="s">
        <v>61</v>
      </c>
      <c r="D49" s="7" t="s">
        <v>17</v>
      </c>
      <c r="E49" s="6" t="s">
        <v>18</v>
      </c>
      <c r="F49" s="4" t="s">
        <v>19</v>
      </c>
    </row>
    <row r="50" customFormat="false" ht="26.85" hidden="false" customHeight="false" outlineLevel="0" collapsed="false">
      <c r="A50" s="3" t="s">
        <v>55</v>
      </c>
      <c r="B50" s="3" t="s">
        <v>60</v>
      </c>
      <c r="C50" s="4" t="s">
        <v>62</v>
      </c>
      <c r="D50" s="7" t="s">
        <v>17</v>
      </c>
      <c r="E50" s="6" t="s">
        <v>18</v>
      </c>
      <c r="F50" s="4" t="s">
        <v>19</v>
      </c>
    </row>
    <row r="51" customFormat="false" ht="26.85" hidden="false" customHeight="false" outlineLevel="0" collapsed="false">
      <c r="A51" s="3" t="s">
        <v>55</v>
      </c>
      <c r="B51" s="3" t="s">
        <v>60</v>
      </c>
      <c r="C51" s="4" t="s">
        <v>63</v>
      </c>
      <c r="D51" s="7" t="s">
        <v>17</v>
      </c>
      <c r="E51" s="6" t="s">
        <v>18</v>
      </c>
      <c r="F51" s="4" t="s">
        <v>19</v>
      </c>
    </row>
    <row r="52" customFormat="false" ht="26.85" hidden="false" customHeight="false" outlineLevel="0" collapsed="false">
      <c r="A52" s="3" t="s">
        <v>55</v>
      </c>
      <c r="B52" s="3" t="s">
        <v>60</v>
      </c>
      <c r="C52" s="4" t="s">
        <v>64</v>
      </c>
      <c r="D52" s="7" t="s">
        <v>17</v>
      </c>
      <c r="E52" s="6" t="s">
        <v>18</v>
      </c>
      <c r="F52" s="4" t="s">
        <v>19</v>
      </c>
    </row>
    <row r="53" customFormat="false" ht="26.85" hidden="false" customHeight="false" outlineLevel="0" collapsed="false">
      <c r="A53" s="3" t="s">
        <v>55</v>
      </c>
      <c r="B53" s="3" t="s">
        <v>60</v>
      </c>
      <c r="C53" s="4" t="s">
        <v>65</v>
      </c>
      <c r="D53" s="7" t="s">
        <v>17</v>
      </c>
      <c r="E53" s="6" t="s">
        <v>18</v>
      </c>
      <c r="F53" s="4" t="s">
        <v>19</v>
      </c>
    </row>
    <row r="54" customFormat="false" ht="26.85" hidden="false" customHeight="false" outlineLevel="0" collapsed="false">
      <c r="A54" s="3" t="s">
        <v>55</v>
      </c>
      <c r="B54" s="3" t="s">
        <v>66</v>
      </c>
      <c r="C54" s="4" t="s">
        <v>61</v>
      </c>
      <c r="D54" s="7" t="s">
        <v>17</v>
      </c>
      <c r="E54" s="6" t="s">
        <v>18</v>
      </c>
      <c r="F54" s="4" t="s">
        <v>19</v>
      </c>
    </row>
    <row r="55" customFormat="false" ht="26.85" hidden="false" customHeight="false" outlineLevel="0" collapsed="false">
      <c r="A55" s="3" t="s">
        <v>55</v>
      </c>
      <c r="B55" s="3" t="s">
        <v>66</v>
      </c>
      <c r="C55" s="4" t="s">
        <v>62</v>
      </c>
      <c r="D55" s="7" t="s">
        <v>17</v>
      </c>
      <c r="E55" s="6" t="s">
        <v>18</v>
      </c>
      <c r="F55" s="4" t="s">
        <v>19</v>
      </c>
    </row>
    <row r="56" customFormat="false" ht="26.85" hidden="false" customHeight="false" outlineLevel="0" collapsed="false">
      <c r="A56" s="3" t="s">
        <v>55</v>
      </c>
      <c r="B56" s="3" t="s">
        <v>66</v>
      </c>
      <c r="C56" s="4" t="s">
        <v>63</v>
      </c>
      <c r="D56" s="7" t="s">
        <v>17</v>
      </c>
      <c r="E56" s="6" t="s">
        <v>18</v>
      </c>
      <c r="F56" s="4" t="s">
        <v>19</v>
      </c>
    </row>
    <row r="57" customFormat="false" ht="26.85" hidden="false" customHeight="false" outlineLevel="0" collapsed="false">
      <c r="A57" s="3" t="s">
        <v>55</v>
      </c>
      <c r="B57" s="3" t="s">
        <v>66</v>
      </c>
      <c r="C57" s="4" t="s">
        <v>64</v>
      </c>
      <c r="D57" s="7" t="s">
        <v>17</v>
      </c>
      <c r="E57" s="6" t="s">
        <v>18</v>
      </c>
      <c r="F57" s="4" t="s">
        <v>19</v>
      </c>
    </row>
    <row r="58" customFormat="false" ht="26.85" hidden="false" customHeight="false" outlineLevel="0" collapsed="false">
      <c r="A58" s="3" t="s">
        <v>55</v>
      </c>
      <c r="B58" s="3" t="s">
        <v>66</v>
      </c>
      <c r="C58" s="4" t="s">
        <v>65</v>
      </c>
      <c r="D58" s="7" t="s">
        <v>17</v>
      </c>
      <c r="E58" s="6" t="s">
        <v>18</v>
      </c>
      <c r="F58" s="4" t="s">
        <v>19</v>
      </c>
    </row>
    <row r="59" customFormat="false" ht="26.85" hidden="false" customHeight="false" outlineLevel="0" collapsed="false">
      <c r="A59" s="3" t="s">
        <v>55</v>
      </c>
      <c r="B59" s="3" t="s">
        <v>67</v>
      </c>
      <c r="C59" s="4" t="s">
        <v>61</v>
      </c>
      <c r="D59" s="7" t="s">
        <v>17</v>
      </c>
      <c r="E59" s="6" t="s">
        <v>18</v>
      </c>
      <c r="F59" s="4" t="s">
        <v>19</v>
      </c>
    </row>
    <row r="60" customFormat="false" ht="26.85" hidden="false" customHeight="false" outlineLevel="0" collapsed="false">
      <c r="A60" s="3" t="s">
        <v>55</v>
      </c>
      <c r="B60" s="3" t="s">
        <v>67</v>
      </c>
      <c r="C60" s="4" t="s">
        <v>62</v>
      </c>
      <c r="D60" s="7" t="s">
        <v>17</v>
      </c>
      <c r="E60" s="6" t="s">
        <v>18</v>
      </c>
      <c r="F60" s="4" t="s">
        <v>19</v>
      </c>
    </row>
    <row r="61" customFormat="false" ht="26.85" hidden="false" customHeight="false" outlineLevel="0" collapsed="false">
      <c r="A61" s="3" t="s">
        <v>55</v>
      </c>
      <c r="B61" s="3" t="s">
        <v>67</v>
      </c>
      <c r="C61" s="4" t="s">
        <v>63</v>
      </c>
      <c r="D61" s="7" t="s">
        <v>17</v>
      </c>
      <c r="E61" s="6" t="s">
        <v>18</v>
      </c>
      <c r="F61" s="4" t="s">
        <v>19</v>
      </c>
    </row>
    <row r="62" customFormat="false" ht="26.85" hidden="false" customHeight="false" outlineLevel="0" collapsed="false">
      <c r="A62" s="3" t="s">
        <v>55</v>
      </c>
      <c r="B62" s="3" t="s">
        <v>67</v>
      </c>
      <c r="C62" s="4" t="s">
        <v>64</v>
      </c>
      <c r="D62" s="7" t="s">
        <v>17</v>
      </c>
      <c r="E62" s="6" t="s">
        <v>18</v>
      </c>
      <c r="F62" s="4" t="s">
        <v>19</v>
      </c>
    </row>
    <row r="63" customFormat="false" ht="26.85" hidden="false" customHeight="false" outlineLevel="0" collapsed="false">
      <c r="A63" s="3" t="s">
        <v>55</v>
      </c>
      <c r="B63" s="3" t="s">
        <v>67</v>
      </c>
      <c r="C63" s="4" t="s">
        <v>65</v>
      </c>
      <c r="D63" s="7" t="s">
        <v>17</v>
      </c>
      <c r="E63" s="6" t="s">
        <v>18</v>
      </c>
      <c r="F63" s="4" t="s">
        <v>19</v>
      </c>
    </row>
    <row r="64" customFormat="false" ht="26.85" hidden="false" customHeight="false" outlineLevel="0" collapsed="false">
      <c r="A64" s="3" t="s">
        <v>55</v>
      </c>
      <c r="B64" s="3" t="s">
        <v>68</v>
      </c>
      <c r="C64" s="4" t="s">
        <v>61</v>
      </c>
      <c r="D64" s="7" t="s">
        <v>17</v>
      </c>
      <c r="E64" s="6" t="s">
        <v>18</v>
      </c>
      <c r="F64" s="4" t="s">
        <v>19</v>
      </c>
    </row>
    <row r="65" customFormat="false" ht="26.85" hidden="false" customHeight="false" outlineLevel="0" collapsed="false">
      <c r="A65" s="3" t="s">
        <v>55</v>
      </c>
      <c r="B65" s="3" t="s">
        <v>68</v>
      </c>
      <c r="C65" s="4" t="s">
        <v>62</v>
      </c>
      <c r="D65" s="7" t="s">
        <v>17</v>
      </c>
      <c r="E65" s="6" t="s">
        <v>18</v>
      </c>
      <c r="F65" s="4" t="s">
        <v>19</v>
      </c>
    </row>
    <row r="66" customFormat="false" ht="26.85" hidden="false" customHeight="false" outlineLevel="0" collapsed="false">
      <c r="A66" s="3" t="s">
        <v>55</v>
      </c>
      <c r="B66" s="3" t="s">
        <v>68</v>
      </c>
      <c r="C66" s="4" t="s">
        <v>63</v>
      </c>
      <c r="D66" s="7" t="s">
        <v>17</v>
      </c>
      <c r="E66" s="6" t="s">
        <v>18</v>
      </c>
      <c r="F66" s="4" t="s">
        <v>19</v>
      </c>
    </row>
    <row r="67" customFormat="false" ht="26.85" hidden="false" customHeight="false" outlineLevel="0" collapsed="false">
      <c r="A67" s="3" t="s">
        <v>55</v>
      </c>
      <c r="B67" s="3" t="s">
        <v>68</v>
      </c>
      <c r="C67" s="4" t="s">
        <v>64</v>
      </c>
      <c r="D67" s="7" t="s">
        <v>17</v>
      </c>
      <c r="E67" s="6" t="s">
        <v>18</v>
      </c>
      <c r="F67" s="4" t="s">
        <v>19</v>
      </c>
    </row>
    <row r="68" customFormat="false" ht="26.85" hidden="false" customHeight="false" outlineLevel="0" collapsed="false">
      <c r="A68" s="3" t="s">
        <v>55</v>
      </c>
      <c r="B68" s="3" t="s">
        <v>68</v>
      </c>
      <c r="C68" s="4" t="s">
        <v>65</v>
      </c>
      <c r="D68" s="7" t="s">
        <v>17</v>
      </c>
      <c r="E68" s="6" t="s">
        <v>18</v>
      </c>
      <c r="F68" s="4" t="s">
        <v>19</v>
      </c>
    </row>
    <row r="69" customFormat="false" ht="26.85" hidden="false" customHeight="false" outlineLevel="0" collapsed="false">
      <c r="A69" s="3" t="s">
        <v>55</v>
      </c>
      <c r="B69" s="3" t="s">
        <v>69</v>
      </c>
      <c r="C69" s="4" t="s">
        <v>61</v>
      </c>
      <c r="D69" s="7" t="s">
        <v>17</v>
      </c>
      <c r="E69" s="6" t="s">
        <v>18</v>
      </c>
      <c r="F69" s="4" t="s">
        <v>19</v>
      </c>
    </row>
    <row r="70" customFormat="false" ht="26.85" hidden="false" customHeight="false" outlineLevel="0" collapsed="false">
      <c r="A70" s="3" t="s">
        <v>55</v>
      </c>
      <c r="B70" s="3" t="s">
        <v>69</v>
      </c>
      <c r="C70" s="4" t="s">
        <v>62</v>
      </c>
      <c r="D70" s="7" t="s">
        <v>17</v>
      </c>
      <c r="E70" s="6" t="s">
        <v>18</v>
      </c>
      <c r="F70" s="4" t="s">
        <v>19</v>
      </c>
    </row>
    <row r="71" customFormat="false" ht="26.85" hidden="false" customHeight="false" outlineLevel="0" collapsed="false">
      <c r="A71" s="3" t="s">
        <v>55</v>
      </c>
      <c r="B71" s="3" t="s">
        <v>69</v>
      </c>
      <c r="C71" s="4" t="s">
        <v>63</v>
      </c>
      <c r="D71" s="7" t="s">
        <v>17</v>
      </c>
      <c r="E71" s="6" t="s">
        <v>18</v>
      </c>
      <c r="F71" s="4" t="s">
        <v>19</v>
      </c>
    </row>
    <row r="72" customFormat="false" ht="26.85" hidden="false" customHeight="false" outlineLevel="0" collapsed="false">
      <c r="A72" s="3" t="s">
        <v>55</v>
      </c>
      <c r="B72" s="3" t="s">
        <v>69</v>
      </c>
      <c r="C72" s="4" t="s">
        <v>64</v>
      </c>
      <c r="D72" s="7" t="s">
        <v>17</v>
      </c>
      <c r="E72" s="6" t="s">
        <v>18</v>
      </c>
      <c r="F72" s="4" t="s">
        <v>19</v>
      </c>
    </row>
    <row r="73" customFormat="false" ht="26.85" hidden="false" customHeight="false" outlineLevel="0" collapsed="false">
      <c r="A73" s="3" t="s">
        <v>55</v>
      </c>
      <c r="B73" s="3" t="s">
        <v>69</v>
      </c>
      <c r="C73" s="4" t="s">
        <v>65</v>
      </c>
      <c r="D73" s="7" t="s">
        <v>17</v>
      </c>
      <c r="E73" s="6" t="s">
        <v>18</v>
      </c>
      <c r="F73" s="4" t="s">
        <v>19</v>
      </c>
    </row>
    <row r="74" customFormat="false" ht="26.85" hidden="false" customHeight="false" outlineLevel="0" collapsed="false">
      <c r="A74" s="3" t="s">
        <v>55</v>
      </c>
      <c r="B74" s="3" t="s">
        <v>70</v>
      </c>
      <c r="C74" s="4" t="s">
        <v>61</v>
      </c>
      <c r="D74" s="7" t="s">
        <v>17</v>
      </c>
      <c r="E74" s="6" t="s">
        <v>18</v>
      </c>
      <c r="F74" s="4" t="s">
        <v>19</v>
      </c>
    </row>
    <row r="75" customFormat="false" ht="26.85" hidden="false" customHeight="false" outlineLevel="0" collapsed="false">
      <c r="A75" s="3" t="s">
        <v>55</v>
      </c>
      <c r="B75" s="3" t="s">
        <v>70</v>
      </c>
      <c r="C75" s="4" t="s">
        <v>62</v>
      </c>
      <c r="D75" s="7" t="s">
        <v>17</v>
      </c>
      <c r="E75" s="6" t="s">
        <v>18</v>
      </c>
      <c r="F75" s="4" t="s">
        <v>19</v>
      </c>
    </row>
    <row r="76" customFormat="false" ht="26.85" hidden="false" customHeight="false" outlineLevel="0" collapsed="false">
      <c r="A76" s="3" t="s">
        <v>55</v>
      </c>
      <c r="B76" s="3" t="s">
        <v>70</v>
      </c>
      <c r="C76" s="4" t="s">
        <v>63</v>
      </c>
      <c r="D76" s="7" t="s">
        <v>17</v>
      </c>
      <c r="E76" s="6" t="s">
        <v>18</v>
      </c>
      <c r="F76" s="4" t="s">
        <v>19</v>
      </c>
    </row>
    <row r="77" customFormat="false" ht="26.85" hidden="false" customHeight="false" outlineLevel="0" collapsed="false">
      <c r="A77" s="3" t="s">
        <v>55</v>
      </c>
      <c r="B77" s="3" t="s">
        <v>70</v>
      </c>
      <c r="C77" s="4" t="s">
        <v>64</v>
      </c>
      <c r="D77" s="7" t="s">
        <v>17</v>
      </c>
      <c r="E77" s="6" t="s">
        <v>18</v>
      </c>
      <c r="F77" s="4" t="s">
        <v>19</v>
      </c>
    </row>
    <row r="78" customFormat="false" ht="26.85" hidden="false" customHeight="false" outlineLevel="0" collapsed="false">
      <c r="A78" s="3" t="s">
        <v>55</v>
      </c>
      <c r="B78" s="3" t="s">
        <v>70</v>
      </c>
      <c r="C78" s="4" t="s">
        <v>65</v>
      </c>
      <c r="D78" s="7" t="s">
        <v>17</v>
      </c>
      <c r="E78" s="6" t="s">
        <v>18</v>
      </c>
      <c r="F78" s="4" t="s">
        <v>19</v>
      </c>
    </row>
    <row r="79" customFormat="false" ht="26.85" hidden="false" customHeight="false" outlineLevel="0" collapsed="false">
      <c r="A79" s="3" t="s">
        <v>55</v>
      </c>
      <c r="B79" s="3" t="s">
        <v>21</v>
      </c>
      <c r="C79" s="4" t="s">
        <v>22</v>
      </c>
      <c r="D79" s="5" t="s">
        <v>10</v>
      </c>
      <c r="E79" s="6" t="s">
        <v>11</v>
      </c>
      <c r="F79" s="4" t="s">
        <v>23</v>
      </c>
    </row>
    <row r="80" customFormat="false" ht="26.85" hidden="false" customHeight="false" outlineLevel="0" collapsed="false">
      <c r="A80" s="3" t="s">
        <v>55</v>
      </c>
      <c r="B80" s="3" t="s">
        <v>21</v>
      </c>
      <c r="C80" s="4" t="s">
        <v>24</v>
      </c>
      <c r="D80" s="5" t="s">
        <v>10</v>
      </c>
      <c r="E80" s="6" t="s">
        <v>11</v>
      </c>
      <c r="F80" s="4" t="s">
        <v>25</v>
      </c>
    </row>
    <row r="81" customFormat="false" ht="26.85" hidden="false" customHeight="false" outlineLevel="0" collapsed="false">
      <c r="A81" s="3" t="s">
        <v>55</v>
      </c>
      <c r="B81" s="3" t="s">
        <v>21</v>
      </c>
      <c r="C81" s="4" t="s">
        <v>26</v>
      </c>
      <c r="D81" s="5" t="s">
        <v>10</v>
      </c>
      <c r="E81" s="6" t="s">
        <v>11</v>
      </c>
      <c r="F81" s="4" t="s">
        <v>23</v>
      </c>
    </row>
    <row r="82" customFormat="false" ht="26.85" hidden="false" customHeight="false" outlineLevel="0" collapsed="false">
      <c r="A82" s="3" t="s">
        <v>55</v>
      </c>
      <c r="B82" s="3" t="s">
        <v>21</v>
      </c>
      <c r="C82" s="4" t="s">
        <v>27</v>
      </c>
      <c r="D82" s="5" t="s">
        <v>10</v>
      </c>
      <c r="E82" s="6" t="s">
        <v>11</v>
      </c>
      <c r="F82" s="4" t="s">
        <v>25</v>
      </c>
    </row>
    <row r="83" customFormat="false" ht="26.85" hidden="false" customHeight="false" outlineLevel="0" collapsed="false">
      <c r="A83" s="3" t="s">
        <v>55</v>
      </c>
      <c r="B83" s="3" t="s">
        <v>21</v>
      </c>
      <c r="C83" s="4" t="s">
        <v>28</v>
      </c>
      <c r="D83" s="7" t="s">
        <v>17</v>
      </c>
      <c r="E83" s="6" t="s">
        <v>18</v>
      </c>
      <c r="F83" s="4" t="s">
        <v>19</v>
      </c>
    </row>
    <row r="84" customFormat="false" ht="26.85" hidden="false" customHeight="false" outlineLevel="0" collapsed="false">
      <c r="A84" s="3" t="s">
        <v>55</v>
      </c>
      <c r="B84" s="3" t="s">
        <v>71</v>
      </c>
      <c r="C84" s="4" t="s">
        <v>61</v>
      </c>
      <c r="D84" s="7" t="s">
        <v>17</v>
      </c>
      <c r="E84" s="6" t="s">
        <v>18</v>
      </c>
      <c r="F84" s="4" t="s">
        <v>19</v>
      </c>
    </row>
    <row r="85" customFormat="false" ht="26.85" hidden="false" customHeight="false" outlineLevel="0" collapsed="false">
      <c r="A85" s="3" t="s">
        <v>55</v>
      </c>
      <c r="B85" s="3" t="s">
        <v>71</v>
      </c>
      <c r="C85" s="4" t="s">
        <v>62</v>
      </c>
      <c r="D85" s="7" t="s">
        <v>17</v>
      </c>
      <c r="E85" s="6" t="s">
        <v>18</v>
      </c>
      <c r="F85" s="4" t="s">
        <v>19</v>
      </c>
    </row>
    <row r="86" customFormat="false" ht="26.85" hidden="false" customHeight="false" outlineLevel="0" collapsed="false">
      <c r="A86" s="3" t="s">
        <v>55</v>
      </c>
      <c r="B86" s="3" t="s">
        <v>71</v>
      </c>
      <c r="C86" s="4" t="s">
        <v>63</v>
      </c>
      <c r="D86" s="7" t="s">
        <v>17</v>
      </c>
      <c r="E86" s="6" t="s">
        <v>18</v>
      </c>
      <c r="F86" s="4" t="s">
        <v>19</v>
      </c>
    </row>
    <row r="87" customFormat="false" ht="26.85" hidden="false" customHeight="false" outlineLevel="0" collapsed="false">
      <c r="A87" s="3" t="s">
        <v>55</v>
      </c>
      <c r="B87" s="3" t="s">
        <v>71</v>
      </c>
      <c r="C87" s="4" t="s">
        <v>64</v>
      </c>
      <c r="D87" s="7" t="s">
        <v>17</v>
      </c>
      <c r="E87" s="6" t="s">
        <v>18</v>
      </c>
      <c r="F87" s="4" t="s">
        <v>19</v>
      </c>
    </row>
    <row r="88" customFormat="false" ht="26.85" hidden="false" customHeight="false" outlineLevel="0" collapsed="false">
      <c r="A88" s="3" t="s">
        <v>55</v>
      </c>
      <c r="B88" s="3" t="s">
        <v>71</v>
      </c>
      <c r="C88" s="4" t="s">
        <v>65</v>
      </c>
      <c r="D88" s="7" t="s">
        <v>17</v>
      </c>
      <c r="E88" s="6" t="s">
        <v>18</v>
      </c>
      <c r="F88" s="4" t="s">
        <v>19</v>
      </c>
    </row>
    <row r="89" customFormat="false" ht="26.85" hidden="false" customHeight="false" outlineLevel="0" collapsed="false">
      <c r="A89" s="3" t="s">
        <v>29</v>
      </c>
      <c r="B89" s="3" t="s">
        <v>72</v>
      </c>
      <c r="C89" s="4" t="s">
        <v>73</v>
      </c>
      <c r="D89" s="5" t="s">
        <v>10</v>
      </c>
      <c r="E89" s="6" t="s">
        <v>11</v>
      </c>
      <c r="F89" s="4" t="s">
        <v>74</v>
      </c>
    </row>
    <row r="90" customFormat="false" ht="26.85" hidden="false" customHeight="false" outlineLevel="0" collapsed="false">
      <c r="A90" s="3" t="s">
        <v>29</v>
      </c>
      <c r="B90" s="3" t="s">
        <v>72</v>
      </c>
      <c r="C90" s="4" t="s">
        <v>75</v>
      </c>
      <c r="D90" s="7" t="s">
        <v>17</v>
      </c>
      <c r="E90" s="6" t="s">
        <v>18</v>
      </c>
      <c r="F90" s="4" t="s">
        <v>19</v>
      </c>
    </row>
    <row r="91" customFormat="false" ht="26.85" hidden="false" customHeight="false" outlineLevel="0" collapsed="false">
      <c r="A91" s="3" t="s">
        <v>29</v>
      </c>
      <c r="B91" s="3" t="s">
        <v>72</v>
      </c>
      <c r="C91" s="4" t="s">
        <v>76</v>
      </c>
      <c r="D91" s="7" t="s">
        <v>17</v>
      </c>
      <c r="E91" s="6" t="s">
        <v>18</v>
      </c>
      <c r="F91" s="4" t="s">
        <v>19</v>
      </c>
    </row>
    <row r="92" customFormat="false" ht="26.85" hidden="false" customHeight="false" outlineLevel="0" collapsed="false">
      <c r="A92" s="3" t="s">
        <v>29</v>
      </c>
      <c r="B92" s="3" t="s">
        <v>72</v>
      </c>
      <c r="C92" s="4" t="s">
        <v>77</v>
      </c>
      <c r="D92" s="7" t="s">
        <v>17</v>
      </c>
      <c r="E92" s="6" t="s">
        <v>18</v>
      </c>
      <c r="F92" s="4" t="s">
        <v>19</v>
      </c>
    </row>
    <row r="93" customFormat="false" ht="26.85" hidden="false" customHeight="false" outlineLevel="0" collapsed="false">
      <c r="A93" s="3" t="s">
        <v>78</v>
      </c>
      <c r="B93" s="3" t="s">
        <v>79</v>
      </c>
      <c r="C93" s="4" t="s">
        <v>80</v>
      </c>
      <c r="D93" s="5" t="s">
        <v>10</v>
      </c>
      <c r="E93" s="6" t="s">
        <v>11</v>
      </c>
      <c r="F93" s="4" t="s">
        <v>81</v>
      </c>
    </row>
    <row r="94" customFormat="false" ht="26.85" hidden="false" customHeight="false" outlineLevel="0" collapsed="false">
      <c r="A94" s="3" t="s">
        <v>78</v>
      </c>
      <c r="B94" s="3" t="s">
        <v>79</v>
      </c>
      <c r="C94" s="4" t="s">
        <v>82</v>
      </c>
      <c r="D94" s="7" t="s">
        <v>17</v>
      </c>
      <c r="E94" s="6" t="s">
        <v>18</v>
      </c>
      <c r="F94" s="4" t="s">
        <v>19</v>
      </c>
    </row>
    <row r="95" customFormat="false" ht="26.85" hidden="false" customHeight="false" outlineLevel="0" collapsed="false">
      <c r="A95" s="3" t="s">
        <v>60</v>
      </c>
      <c r="B95" s="3" t="s">
        <v>83</v>
      </c>
      <c r="C95" s="4" t="s">
        <v>84</v>
      </c>
      <c r="D95" s="5" t="s">
        <v>10</v>
      </c>
      <c r="E95" s="6" t="s">
        <v>11</v>
      </c>
      <c r="F95" s="4" t="s">
        <v>85</v>
      </c>
    </row>
    <row r="96" customFormat="false" ht="26.85" hidden="false" customHeight="false" outlineLevel="0" collapsed="false">
      <c r="A96" s="3" t="s">
        <v>60</v>
      </c>
      <c r="B96" s="3" t="s">
        <v>83</v>
      </c>
      <c r="C96" s="4" t="s">
        <v>86</v>
      </c>
      <c r="D96" s="5" t="s">
        <v>10</v>
      </c>
      <c r="E96" s="6" t="s">
        <v>11</v>
      </c>
      <c r="F96" s="4" t="s">
        <v>87</v>
      </c>
    </row>
    <row r="97" customFormat="false" ht="26.85" hidden="false" customHeight="false" outlineLevel="0" collapsed="false">
      <c r="A97" s="3" t="s">
        <v>60</v>
      </c>
      <c r="B97" s="3" t="s">
        <v>83</v>
      </c>
      <c r="C97" s="4" t="s">
        <v>88</v>
      </c>
      <c r="D97" s="5" t="s">
        <v>10</v>
      </c>
      <c r="E97" s="6" t="s">
        <v>11</v>
      </c>
      <c r="F97" s="4" t="s">
        <v>87</v>
      </c>
    </row>
    <row r="98" customFormat="false" ht="26.85" hidden="false" customHeight="false" outlineLevel="0" collapsed="false">
      <c r="A98" s="3" t="s">
        <v>60</v>
      </c>
      <c r="B98" s="3" t="s">
        <v>42</v>
      </c>
      <c r="C98" s="4" t="s">
        <v>43</v>
      </c>
      <c r="D98" s="7" t="s">
        <v>17</v>
      </c>
      <c r="E98" s="6" t="s">
        <v>18</v>
      </c>
      <c r="F98" s="4" t="s">
        <v>19</v>
      </c>
    </row>
    <row r="99" customFormat="false" ht="26.85" hidden="false" customHeight="false" outlineLevel="0" collapsed="false">
      <c r="A99" s="3" t="s">
        <v>60</v>
      </c>
      <c r="B99" s="3" t="s">
        <v>42</v>
      </c>
      <c r="C99" s="4" t="s">
        <v>44</v>
      </c>
      <c r="D99" s="7" t="s">
        <v>17</v>
      </c>
      <c r="E99" s="6" t="s">
        <v>18</v>
      </c>
      <c r="F99" s="4" t="s">
        <v>19</v>
      </c>
    </row>
    <row r="100" customFormat="false" ht="26.85" hidden="false" customHeight="false" outlineLevel="0" collapsed="false">
      <c r="A100" s="3" t="s">
        <v>60</v>
      </c>
      <c r="B100" s="3" t="s">
        <v>42</v>
      </c>
      <c r="C100" s="4" t="s">
        <v>45</v>
      </c>
      <c r="D100" s="5" t="s">
        <v>10</v>
      </c>
      <c r="E100" s="6" t="s">
        <v>11</v>
      </c>
      <c r="F100" s="4" t="s">
        <v>15</v>
      </c>
    </row>
    <row r="101" customFormat="false" ht="26.85" hidden="false" customHeight="false" outlineLevel="0" collapsed="false">
      <c r="A101" s="3" t="s">
        <v>60</v>
      </c>
      <c r="B101" s="3" t="s">
        <v>89</v>
      </c>
      <c r="C101" s="4" t="s">
        <v>90</v>
      </c>
      <c r="D101" s="7" t="s">
        <v>17</v>
      </c>
      <c r="E101" s="6" t="s">
        <v>18</v>
      </c>
      <c r="F101" s="4" t="s">
        <v>19</v>
      </c>
    </row>
    <row r="102" customFormat="false" ht="26.85" hidden="false" customHeight="false" outlineLevel="0" collapsed="false">
      <c r="A102" s="3" t="s">
        <v>60</v>
      </c>
      <c r="B102" s="3" t="s">
        <v>89</v>
      </c>
      <c r="C102" s="4" t="s">
        <v>91</v>
      </c>
      <c r="D102" s="7" t="s">
        <v>17</v>
      </c>
      <c r="E102" s="6" t="s">
        <v>18</v>
      </c>
      <c r="F102" s="4" t="s">
        <v>19</v>
      </c>
    </row>
    <row r="103" customFormat="false" ht="26.85" hidden="false" customHeight="false" outlineLevel="0" collapsed="false">
      <c r="A103" s="3" t="s">
        <v>60</v>
      </c>
      <c r="B103" s="3" t="s">
        <v>92</v>
      </c>
      <c r="C103" s="4" t="s">
        <v>93</v>
      </c>
      <c r="D103" s="7" t="s">
        <v>17</v>
      </c>
      <c r="E103" s="6" t="s">
        <v>18</v>
      </c>
      <c r="F103" s="4" t="s">
        <v>19</v>
      </c>
    </row>
    <row r="104" customFormat="false" ht="26.85" hidden="false" customHeight="false" outlineLevel="0" collapsed="false">
      <c r="A104" s="3" t="s">
        <v>60</v>
      </c>
      <c r="B104" s="3" t="s">
        <v>92</v>
      </c>
      <c r="C104" s="4" t="s">
        <v>94</v>
      </c>
      <c r="D104" s="7" t="s">
        <v>17</v>
      </c>
      <c r="E104" s="6" t="s">
        <v>18</v>
      </c>
      <c r="F104" s="4" t="s">
        <v>19</v>
      </c>
    </row>
    <row r="105" customFormat="false" ht="26.85" hidden="false" customHeight="false" outlineLevel="0" collapsed="false">
      <c r="A105" s="3" t="s">
        <v>60</v>
      </c>
      <c r="B105" s="3" t="s">
        <v>92</v>
      </c>
      <c r="C105" s="4" t="s">
        <v>95</v>
      </c>
      <c r="D105" s="7" t="s">
        <v>17</v>
      </c>
      <c r="E105" s="6" t="s">
        <v>18</v>
      </c>
      <c r="F105" s="4" t="s">
        <v>19</v>
      </c>
    </row>
    <row r="106" customFormat="false" ht="26.85" hidden="false" customHeight="false" outlineLevel="0" collapsed="false">
      <c r="A106" s="3" t="s">
        <v>60</v>
      </c>
      <c r="B106" s="3" t="s">
        <v>92</v>
      </c>
      <c r="C106" s="4" t="s">
        <v>96</v>
      </c>
      <c r="D106" s="5" t="s">
        <v>10</v>
      </c>
      <c r="E106" s="6" t="s">
        <v>11</v>
      </c>
      <c r="F106" s="4" t="s">
        <v>33</v>
      </c>
    </row>
    <row r="107" customFormat="false" ht="26.85" hidden="false" customHeight="false" outlineLevel="0" collapsed="false">
      <c r="A107" s="3" t="s">
        <v>60</v>
      </c>
      <c r="B107" s="3" t="s">
        <v>92</v>
      </c>
      <c r="C107" s="4" t="s">
        <v>97</v>
      </c>
      <c r="D107" s="7" t="s">
        <v>17</v>
      </c>
      <c r="E107" s="6" t="s">
        <v>18</v>
      </c>
      <c r="F107" s="4" t="s">
        <v>19</v>
      </c>
    </row>
    <row r="108" customFormat="false" ht="26.85" hidden="false" customHeight="false" outlineLevel="0" collapsed="false">
      <c r="A108" s="3" t="s">
        <v>60</v>
      </c>
      <c r="B108" s="3" t="s">
        <v>98</v>
      </c>
      <c r="C108" s="4" t="s">
        <v>99</v>
      </c>
      <c r="D108" s="7" t="s">
        <v>17</v>
      </c>
      <c r="E108" s="6" t="s">
        <v>18</v>
      </c>
      <c r="F108" s="4" t="s">
        <v>19</v>
      </c>
    </row>
    <row r="109" customFormat="false" ht="26.85" hidden="false" customHeight="false" outlineLevel="0" collapsed="false">
      <c r="A109" s="3" t="s">
        <v>60</v>
      </c>
      <c r="B109" s="3" t="s">
        <v>98</v>
      </c>
      <c r="C109" s="4" t="s">
        <v>100</v>
      </c>
      <c r="D109" s="5" t="s">
        <v>10</v>
      </c>
      <c r="E109" s="6" t="s">
        <v>11</v>
      </c>
      <c r="F109" s="4" t="s">
        <v>33</v>
      </c>
    </row>
    <row r="110" customFormat="false" ht="26.85" hidden="false" customHeight="false" outlineLevel="0" collapsed="false">
      <c r="A110" s="3" t="s">
        <v>60</v>
      </c>
      <c r="B110" s="3" t="s">
        <v>98</v>
      </c>
      <c r="C110" s="4" t="s">
        <v>101</v>
      </c>
      <c r="D110" s="7" t="s">
        <v>17</v>
      </c>
      <c r="E110" s="6" t="s">
        <v>18</v>
      </c>
      <c r="F110" s="4" t="s">
        <v>19</v>
      </c>
    </row>
    <row r="111" customFormat="false" ht="26.85" hidden="false" customHeight="false" outlineLevel="0" collapsed="false">
      <c r="A111" s="3" t="s">
        <v>60</v>
      </c>
      <c r="B111" s="3" t="s">
        <v>8</v>
      </c>
      <c r="C111" s="4" t="s">
        <v>9</v>
      </c>
      <c r="D111" s="5" t="s">
        <v>10</v>
      </c>
      <c r="E111" s="6" t="s">
        <v>11</v>
      </c>
      <c r="F111" s="4" t="s">
        <v>12</v>
      </c>
    </row>
    <row r="112" customFormat="false" ht="26.85" hidden="false" customHeight="false" outlineLevel="0" collapsed="false">
      <c r="A112" s="3" t="s">
        <v>60</v>
      </c>
      <c r="B112" s="3" t="s">
        <v>8</v>
      </c>
      <c r="C112" s="4" t="s">
        <v>13</v>
      </c>
      <c r="D112" s="5" t="s">
        <v>10</v>
      </c>
      <c r="E112" s="6" t="s">
        <v>11</v>
      </c>
      <c r="F112" s="4" t="s">
        <v>12</v>
      </c>
    </row>
    <row r="113" customFormat="false" ht="26.85" hidden="false" customHeight="false" outlineLevel="0" collapsed="false">
      <c r="A113" s="3" t="s">
        <v>60</v>
      </c>
      <c r="B113" s="3" t="s">
        <v>8</v>
      </c>
      <c r="C113" s="4" t="s">
        <v>14</v>
      </c>
      <c r="D113" s="5" t="s">
        <v>10</v>
      </c>
      <c r="E113" s="6" t="s">
        <v>11</v>
      </c>
      <c r="F113" s="4" t="s">
        <v>15</v>
      </c>
    </row>
    <row r="114" customFormat="false" ht="39.55" hidden="false" customHeight="false" outlineLevel="0" collapsed="false">
      <c r="A114" s="3" t="s">
        <v>60</v>
      </c>
      <c r="B114" s="3" t="s">
        <v>8</v>
      </c>
      <c r="C114" s="4" t="s">
        <v>16</v>
      </c>
      <c r="D114" s="7" t="s">
        <v>17</v>
      </c>
      <c r="E114" s="6" t="s">
        <v>18</v>
      </c>
      <c r="F114" s="4" t="s">
        <v>19</v>
      </c>
    </row>
    <row r="115" customFormat="false" ht="26.85" hidden="false" customHeight="false" outlineLevel="0" collapsed="false">
      <c r="A115" s="3" t="s">
        <v>60</v>
      </c>
      <c r="B115" s="3" t="s">
        <v>102</v>
      </c>
      <c r="C115" s="4" t="s">
        <v>103</v>
      </c>
      <c r="D115" s="7" t="s">
        <v>17</v>
      </c>
      <c r="E115" s="6" t="s">
        <v>18</v>
      </c>
      <c r="F115" s="4" t="s">
        <v>19</v>
      </c>
    </row>
    <row r="116" customFormat="false" ht="26.85" hidden="false" customHeight="false" outlineLevel="0" collapsed="false">
      <c r="A116" s="3" t="s">
        <v>60</v>
      </c>
      <c r="B116" s="3" t="s">
        <v>102</v>
      </c>
      <c r="C116" s="4" t="s">
        <v>104</v>
      </c>
      <c r="D116" s="7" t="s">
        <v>17</v>
      </c>
      <c r="E116" s="6" t="s">
        <v>18</v>
      </c>
      <c r="F116" s="4" t="s">
        <v>19</v>
      </c>
    </row>
    <row r="117" customFormat="false" ht="26.85" hidden="false" customHeight="false" outlineLevel="0" collapsed="false">
      <c r="A117" s="3" t="s">
        <v>60</v>
      </c>
      <c r="B117" s="3" t="s">
        <v>102</v>
      </c>
      <c r="C117" s="4" t="s">
        <v>105</v>
      </c>
      <c r="D117" s="7" t="s">
        <v>17</v>
      </c>
      <c r="E117" s="6" t="s">
        <v>18</v>
      </c>
      <c r="F117" s="4" t="s">
        <v>19</v>
      </c>
    </row>
    <row r="118" customFormat="false" ht="26.85" hidden="false" customHeight="false" outlineLevel="0" collapsed="false">
      <c r="A118" s="3" t="s">
        <v>60</v>
      </c>
      <c r="B118" s="3" t="s">
        <v>102</v>
      </c>
      <c r="C118" s="4" t="s">
        <v>106</v>
      </c>
      <c r="D118" s="7" t="s">
        <v>17</v>
      </c>
      <c r="E118" s="6" t="s">
        <v>18</v>
      </c>
      <c r="F118" s="4" t="s">
        <v>19</v>
      </c>
    </row>
    <row r="119" customFormat="false" ht="26.85" hidden="false" customHeight="false" outlineLevel="0" collapsed="false">
      <c r="A119" s="3" t="s">
        <v>60</v>
      </c>
      <c r="B119" s="3" t="s">
        <v>107</v>
      </c>
      <c r="C119" s="4" t="s">
        <v>108</v>
      </c>
      <c r="D119" s="5" t="s">
        <v>10</v>
      </c>
      <c r="E119" s="6" t="s">
        <v>11</v>
      </c>
      <c r="F119" s="4" t="s">
        <v>81</v>
      </c>
    </row>
    <row r="120" customFormat="false" ht="26.85" hidden="false" customHeight="false" outlineLevel="0" collapsed="false">
      <c r="A120" s="3" t="s">
        <v>60</v>
      </c>
      <c r="B120" s="3" t="s">
        <v>107</v>
      </c>
      <c r="C120" s="4" t="s">
        <v>109</v>
      </c>
      <c r="D120" s="7" t="s">
        <v>17</v>
      </c>
      <c r="E120" s="6" t="s">
        <v>18</v>
      </c>
      <c r="F120" s="4" t="s">
        <v>19</v>
      </c>
    </row>
    <row r="121" customFormat="false" ht="26.85" hidden="false" customHeight="false" outlineLevel="0" collapsed="false">
      <c r="A121" s="3" t="s">
        <v>60</v>
      </c>
      <c r="B121" s="3" t="s">
        <v>110</v>
      </c>
      <c r="C121" s="4" t="s">
        <v>111</v>
      </c>
      <c r="D121" s="5" t="s">
        <v>10</v>
      </c>
      <c r="E121" s="6" t="s">
        <v>11</v>
      </c>
      <c r="F121" s="4" t="s">
        <v>87</v>
      </c>
    </row>
    <row r="122" customFormat="false" ht="26.85" hidden="false" customHeight="false" outlineLevel="0" collapsed="false">
      <c r="A122" s="3" t="s">
        <v>60</v>
      </c>
      <c r="B122" s="3" t="s">
        <v>112</v>
      </c>
      <c r="C122" s="4" t="s">
        <v>113</v>
      </c>
      <c r="D122" s="5" t="s">
        <v>10</v>
      </c>
      <c r="E122" s="6" t="s">
        <v>11</v>
      </c>
      <c r="F122" s="4" t="s">
        <v>33</v>
      </c>
    </row>
    <row r="123" customFormat="false" ht="26.85" hidden="false" customHeight="false" outlineLevel="0" collapsed="false">
      <c r="A123" s="3" t="s">
        <v>60</v>
      </c>
      <c r="B123" s="3" t="s">
        <v>112</v>
      </c>
      <c r="C123" s="4" t="s">
        <v>114</v>
      </c>
      <c r="D123" s="7" t="s">
        <v>17</v>
      </c>
      <c r="E123" s="6" t="s">
        <v>18</v>
      </c>
      <c r="F123" s="4" t="s">
        <v>19</v>
      </c>
    </row>
    <row r="124" customFormat="false" ht="26.85" hidden="false" customHeight="false" outlineLevel="0" collapsed="false">
      <c r="A124" s="3" t="s">
        <v>60</v>
      </c>
      <c r="B124" s="3" t="s">
        <v>112</v>
      </c>
      <c r="C124" s="4" t="s">
        <v>115</v>
      </c>
      <c r="D124" s="7" t="s">
        <v>17</v>
      </c>
      <c r="E124" s="6" t="s">
        <v>18</v>
      </c>
      <c r="F124" s="4" t="s">
        <v>19</v>
      </c>
    </row>
    <row r="125" customFormat="false" ht="26.85" hidden="false" customHeight="false" outlineLevel="0" collapsed="false">
      <c r="A125" s="3" t="s">
        <v>60</v>
      </c>
      <c r="B125" s="3" t="s">
        <v>112</v>
      </c>
      <c r="C125" s="4" t="s">
        <v>116</v>
      </c>
      <c r="D125" s="7" t="s">
        <v>17</v>
      </c>
      <c r="E125" s="6" t="s">
        <v>18</v>
      </c>
      <c r="F125" s="4" t="s">
        <v>19</v>
      </c>
    </row>
    <row r="126" customFormat="false" ht="26.85" hidden="false" customHeight="false" outlineLevel="0" collapsed="false">
      <c r="A126" s="3" t="s">
        <v>60</v>
      </c>
      <c r="B126" s="3" t="s">
        <v>112</v>
      </c>
      <c r="C126" s="4" t="s">
        <v>117</v>
      </c>
      <c r="D126" s="7" t="s">
        <v>17</v>
      </c>
      <c r="E126" s="6" t="s">
        <v>18</v>
      </c>
      <c r="F126" s="4" t="s">
        <v>19</v>
      </c>
    </row>
    <row r="127" customFormat="false" ht="26.85" hidden="false" customHeight="false" outlineLevel="0" collapsed="false">
      <c r="A127" s="3" t="s">
        <v>60</v>
      </c>
      <c r="B127" s="3" t="s">
        <v>112</v>
      </c>
      <c r="C127" s="4" t="s">
        <v>118</v>
      </c>
      <c r="D127" s="5" t="s">
        <v>10</v>
      </c>
      <c r="E127" s="6" t="s">
        <v>11</v>
      </c>
      <c r="F127" s="4" t="s">
        <v>119</v>
      </c>
    </row>
    <row r="128" customFormat="false" ht="26.85" hidden="false" customHeight="false" outlineLevel="0" collapsed="false">
      <c r="A128" s="3" t="s">
        <v>60</v>
      </c>
      <c r="B128" s="3" t="s">
        <v>112</v>
      </c>
      <c r="C128" s="4" t="s">
        <v>120</v>
      </c>
      <c r="D128" s="5" t="s">
        <v>10</v>
      </c>
      <c r="E128" s="6" t="s">
        <v>11</v>
      </c>
      <c r="F128" s="4" t="s">
        <v>81</v>
      </c>
    </row>
    <row r="129" customFormat="false" ht="26.85" hidden="false" customHeight="false" outlineLevel="0" collapsed="false">
      <c r="A129" s="3" t="s">
        <v>7</v>
      </c>
      <c r="B129" s="3" t="s">
        <v>121</v>
      </c>
      <c r="C129" s="4" t="s">
        <v>122</v>
      </c>
      <c r="D129" s="7" t="s">
        <v>17</v>
      </c>
      <c r="E129" s="6" t="s">
        <v>18</v>
      </c>
      <c r="F129" s="4" t="s">
        <v>19</v>
      </c>
    </row>
    <row r="130" customFormat="false" ht="26.85" hidden="false" customHeight="false" outlineLevel="0" collapsed="false">
      <c r="A130" s="3" t="s">
        <v>7</v>
      </c>
      <c r="B130" s="3" t="s">
        <v>121</v>
      </c>
      <c r="C130" s="4" t="s">
        <v>123</v>
      </c>
      <c r="D130" s="7" t="s">
        <v>17</v>
      </c>
      <c r="E130" s="6" t="s">
        <v>18</v>
      </c>
      <c r="F130" s="4" t="s">
        <v>19</v>
      </c>
    </row>
    <row r="131" customFormat="false" ht="26.85" hidden="false" customHeight="false" outlineLevel="0" collapsed="false">
      <c r="A131" s="3" t="s">
        <v>60</v>
      </c>
      <c r="B131" s="3" t="s">
        <v>21</v>
      </c>
      <c r="C131" s="4" t="s">
        <v>22</v>
      </c>
      <c r="D131" s="5" t="s">
        <v>10</v>
      </c>
      <c r="E131" s="6" t="s">
        <v>11</v>
      </c>
      <c r="F131" s="4" t="s">
        <v>23</v>
      </c>
    </row>
    <row r="132" customFormat="false" ht="26.85" hidden="false" customHeight="false" outlineLevel="0" collapsed="false">
      <c r="A132" s="3" t="s">
        <v>60</v>
      </c>
      <c r="B132" s="3" t="s">
        <v>21</v>
      </c>
      <c r="C132" s="4" t="s">
        <v>24</v>
      </c>
      <c r="D132" s="5" t="s">
        <v>10</v>
      </c>
      <c r="E132" s="6" t="s">
        <v>11</v>
      </c>
      <c r="F132" s="4" t="s">
        <v>25</v>
      </c>
    </row>
    <row r="133" customFormat="false" ht="26.85" hidden="false" customHeight="false" outlineLevel="0" collapsed="false">
      <c r="A133" s="3" t="s">
        <v>60</v>
      </c>
      <c r="B133" s="3" t="s">
        <v>21</v>
      </c>
      <c r="C133" s="4" t="s">
        <v>26</v>
      </c>
      <c r="D133" s="5" t="s">
        <v>10</v>
      </c>
      <c r="E133" s="6" t="s">
        <v>11</v>
      </c>
      <c r="F133" s="4" t="s">
        <v>23</v>
      </c>
    </row>
    <row r="134" customFormat="false" ht="26.85" hidden="false" customHeight="false" outlineLevel="0" collapsed="false">
      <c r="A134" s="3" t="s">
        <v>60</v>
      </c>
      <c r="B134" s="3" t="s">
        <v>21</v>
      </c>
      <c r="C134" s="4" t="s">
        <v>27</v>
      </c>
      <c r="D134" s="5" t="s">
        <v>10</v>
      </c>
      <c r="E134" s="6" t="s">
        <v>11</v>
      </c>
      <c r="F134" s="4" t="s">
        <v>25</v>
      </c>
    </row>
    <row r="135" customFormat="false" ht="26.85" hidden="false" customHeight="false" outlineLevel="0" collapsed="false">
      <c r="A135" s="3" t="s">
        <v>60</v>
      </c>
      <c r="B135" s="3" t="s">
        <v>21</v>
      </c>
      <c r="C135" s="4" t="s">
        <v>28</v>
      </c>
      <c r="D135" s="7" t="s">
        <v>17</v>
      </c>
      <c r="E135" s="6" t="s">
        <v>18</v>
      </c>
      <c r="F135" s="4" t="s">
        <v>19</v>
      </c>
    </row>
    <row r="136" customFormat="false" ht="26.85" hidden="false" customHeight="false" outlineLevel="0" collapsed="false">
      <c r="A136" s="3" t="s">
        <v>7</v>
      </c>
      <c r="B136" s="3" t="s">
        <v>124</v>
      </c>
      <c r="C136" s="4" t="s">
        <v>125</v>
      </c>
      <c r="D136" s="5" t="s">
        <v>10</v>
      </c>
      <c r="E136" s="6" t="s">
        <v>11</v>
      </c>
      <c r="F136" s="4" t="s">
        <v>33</v>
      </c>
    </row>
    <row r="137" customFormat="false" ht="26.85" hidden="false" customHeight="false" outlineLevel="0" collapsed="false">
      <c r="A137" s="3" t="s">
        <v>7</v>
      </c>
      <c r="B137" s="3" t="s">
        <v>124</v>
      </c>
      <c r="C137" s="4" t="s">
        <v>126</v>
      </c>
      <c r="D137" s="7" t="s">
        <v>17</v>
      </c>
      <c r="E137" s="6" t="s">
        <v>18</v>
      </c>
      <c r="F137" s="4" t="s">
        <v>19</v>
      </c>
    </row>
    <row r="138" customFormat="false" ht="26.85" hidden="false" customHeight="false" outlineLevel="0" collapsed="false">
      <c r="A138" s="3" t="s">
        <v>7</v>
      </c>
      <c r="B138" s="3" t="s">
        <v>124</v>
      </c>
      <c r="C138" s="4" t="s">
        <v>127</v>
      </c>
      <c r="D138" s="5" t="s">
        <v>10</v>
      </c>
      <c r="E138" s="6" t="s">
        <v>11</v>
      </c>
      <c r="F138" s="4" t="s">
        <v>33</v>
      </c>
    </row>
    <row r="139" customFormat="false" ht="26.85" hidden="false" customHeight="false" outlineLevel="0" collapsed="false">
      <c r="A139" s="3" t="s">
        <v>29</v>
      </c>
      <c r="B139" s="3" t="s">
        <v>128</v>
      </c>
      <c r="C139" s="4" t="s">
        <v>129</v>
      </c>
      <c r="D139" s="7" t="s">
        <v>17</v>
      </c>
      <c r="E139" s="6" t="s">
        <v>18</v>
      </c>
      <c r="F139" s="4" t="s">
        <v>19</v>
      </c>
    </row>
    <row r="140" customFormat="false" ht="26.85" hidden="false" customHeight="false" outlineLevel="0" collapsed="false">
      <c r="A140" s="3" t="s">
        <v>7</v>
      </c>
      <c r="B140" s="3" t="s">
        <v>66</v>
      </c>
      <c r="C140" s="4" t="s">
        <v>130</v>
      </c>
      <c r="D140" s="7" t="s">
        <v>17</v>
      </c>
      <c r="E140" s="6" t="s">
        <v>18</v>
      </c>
      <c r="F140" s="4" t="s">
        <v>19</v>
      </c>
    </row>
    <row r="141" customFormat="false" ht="26.85" hidden="false" customHeight="false" outlineLevel="0" collapsed="false">
      <c r="A141" s="3" t="s">
        <v>7</v>
      </c>
      <c r="B141" s="3" t="s">
        <v>66</v>
      </c>
      <c r="C141" s="4" t="s">
        <v>131</v>
      </c>
      <c r="D141" s="7" t="s">
        <v>17</v>
      </c>
      <c r="E141" s="6" t="s">
        <v>18</v>
      </c>
      <c r="F141" s="4" t="s">
        <v>19</v>
      </c>
    </row>
    <row r="142" customFormat="false" ht="26.85" hidden="false" customHeight="false" outlineLevel="0" collapsed="false">
      <c r="A142" s="3" t="s">
        <v>7</v>
      </c>
      <c r="B142" s="3" t="s">
        <v>66</v>
      </c>
      <c r="C142" s="4" t="s">
        <v>132</v>
      </c>
      <c r="D142" s="7" t="s">
        <v>17</v>
      </c>
      <c r="E142" s="6" t="s">
        <v>18</v>
      </c>
      <c r="F142" s="4" t="s">
        <v>19</v>
      </c>
    </row>
    <row r="143" customFormat="false" ht="26.85" hidden="false" customHeight="false" outlineLevel="0" collapsed="false">
      <c r="A143" s="3" t="s">
        <v>66</v>
      </c>
      <c r="B143" s="3" t="s">
        <v>133</v>
      </c>
      <c r="C143" s="4" t="s">
        <v>134</v>
      </c>
      <c r="D143" s="7" t="s">
        <v>17</v>
      </c>
      <c r="E143" s="6" t="s">
        <v>18</v>
      </c>
      <c r="F143" s="4" t="s">
        <v>19</v>
      </c>
    </row>
    <row r="144" customFormat="false" ht="26.85" hidden="false" customHeight="false" outlineLevel="0" collapsed="false">
      <c r="A144" s="3" t="s">
        <v>66</v>
      </c>
      <c r="B144" s="3" t="s">
        <v>133</v>
      </c>
      <c r="C144" s="4" t="s">
        <v>135</v>
      </c>
      <c r="D144" s="7" t="s">
        <v>17</v>
      </c>
      <c r="E144" s="6" t="s">
        <v>18</v>
      </c>
      <c r="F144" s="4" t="s">
        <v>19</v>
      </c>
    </row>
    <row r="145" customFormat="false" ht="26.85" hidden="false" customHeight="false" outlineLevel="0" collapsed="false">
      <c r="A145" s="3" t="s">
        <v>66</v>
      </c>
      <c r="B145" s="3" t="s">
        <v>133</v>
      </c>
      <c r="C145" s="4" t="s">
        <v>136</v>
      </c>
      <c r="D145" s="5" t="s">
        <v>10</v>
      </c>
      <c r="E145" s="6" t="s">
        <v>11</v>
      </c>
      <c r="F145" s="4" t="s">
        <v>33</v>
      </c>
    </row>
    <row r="146" customFormat="false" ht="39.55" hidden="false" customHeight="false" outlineLevel="0" collapsed="false">
      <c r="A146" s="3" t="s">
        <v>66</v>
      </c>
      <c r="B146" s="3" t="s">
        <v>133</v>
      </c>
      <c r="C146" s="4" t="s">
        <v>137</v>
      </c>
      <c r="D146" s="5" t="s">
        <v>10</v>
      </c>
      <c r="E146" s="6" t="s">
        <v>11</v>
      </c>
      <c r="F146" s="4" t="s">
        <v>33</v>
      </c>
    </row>
    <row r="147" customFormat="false" ht="26.85" hidden="false" customHeight="false" outlineLevel="0" collapsed="false">
      <c r="A147" s="3" t="s">
        <v>66</v>
      </c>
      <c r="B147" s="3" t="s">
        <v>133</v>
      </c>
      <c r="C147" s="4" t="s">
        <v>138</v>
      </c>
      <c r="D147" s="7" t="s">
        <v>17</v>
      </c>
      <c r="E147" s="6" t="s">
        <v>18</v>
      </c>
      <c r="F147" s="4" t="s">
        <v>19</v>
      </c>
    </row>
    <row r="148" customFormat="false" ht="26.85" hidden="false" customHeight="false" outlineLevel="0" collapsed="false">
      <c r="A148" s="3" t="s">
        <v>66</v>
      </c>
      <c r="B148" s="3" t="s">
        <v>133</v>
      </c>
      <c r="C148" s="4" t="s">
        <v>139</v>
      </c>
      <c r="D148" s="7" t="s">
        <v>17</v>
      </c>
      <c r="E148" s="6" t="s">
        <v>18</v>
      </c>
      <c r="F148" s="4" t="s">
        <v>19</v>
      </c>
    </row>
    <row r="149" customFormat="false" ht="26.85" hidden="false" customHeight="false" outlineLevel="0" collapsed="false">
      <c r="A149" s="3" t="s">
        <v>140</v>
      </c>
      <c r="B149" s="3" t="s">
        <v>42</v>
      </c>
      <c r="C149" s="4" t="s">
        <v>43</v>
      </c>
      <c r="D149" s="7" t="s">
        <v>17</v>
      </c>
      <c r="E149" s="6" t="s">
        <v>18</v>
      </c>
      <c r="F149" s="4" t="s">
        <v>19</v>
      </c>
    </row>
    <row r="150" customFormat="false" ht="26.85" hidden="false" customHeight="false" outlineLevel="0" collapsed="false">
      <c r="A150" s="3" t="s">
        <v>140</v>
      </c>
      <c r="B150" s="3" t="s">
        <v>42</v>
      </c>
      <c r="C150" s="4" t="s">
        <v>44</v>
      </c>
      <c r="D150" s="7" t="s">
        <v>17</v>
      </c>
      <c r="E150" s="6" t="s">
        <v>18</v>
      </c>
      <c r="F150" s="4" t="s">
        <v>19</v>
      </c>
    </row>
    <row r="151" customFormat="false" ht="26.85" hidden="false" customHeight="false" outlineLevel="0" collapsed="false">
      <c r="A151" s="3" t="s">
        <v>140</v>
      </c>
      <c r="B151" s="3" t="s">
        <v>42</v>
      </c>
      <c r="C151" s="4" t="s">
        <v>45</v>
      </c>
      <c r="D151" s="5" t="s">
        <v>10</v>
      </c>
      <c r="E151" s="6" t="s">
        <v>11</v>
      </c>
      <c r="F151" s="4" t="s">
        <v>15</v>
      </c>
    </row>
    <row r="152" customFormat="false" ht="26.85" hidden="false" customHeight="false" outlineLevel="0" collapsed="false">
      <c r="A152" s="3" t="s">
        <v>66</v>
      </c>
      <c r="B152" s="3" t="s">
        <v>141</v>
      </c>
      <c r="C152" s="4" t="s">
        <v>142</v>
      </c>
      <c r="D152" s="5" t="s">
        <v>10</v>
      </c>
      <c r="E152" s="6" t="s">
        <v>11</v>
      </c>
      <c r="F152" s="4" t="s">
        <v>87</v>
      </c>
    </row>
    <row r="153" customFormat="false" ht="26.85" hidden="false" customHeight="false" outlineLevel="0" collapsed="false">
      <c r="A153" s="3" t="s">
        <v>66</v>
      </c>
      <c r="B153" s="3" t="s">
        <v>141</v>
      </c>
      <c r="C153" s="4" t="s">
        <v>143</v>
      </c>
      <c r="D153" s="7" t="s">
        <v>17</v>
      </c>
      <c r="E153" s="6" t="s">
        <v>18</v>
      </c>
      <c r="F153" s="4" t="s">
        <v>19</v>
      </c>
    </row>
    <row r="154" customFormat="false" ht="26.85" hidden="false" customHeight="false" outlineLevel="0" collapsed="false">
      <c r="A154" s="3" t="s">
        <v>7</v>
      </c>
      <c r="B154" s="3" t="s">
        <v>8</v>
      </c>
      <c r="C154" s="4" t="s">
        <v>9</v>
      </c>
      <c r="D154" s="5" t="s">
        <v>10</v>
      </c>
      <c r="E154" s="6" t="s">
        <v>11</v>
      </c>
      <c r="F154" s="4" t="s">
        <v>12</v>
      </c>
    </row>
    <row r="155" customFormat="false" ht="26.85" hidden="false" customHeight="false" outlineLevel="0" collapsed="false">
      <c r="A155" s="3" t="s">
        <v>7</v>
      </c>
      <c r="B155" s="3" t="s">
        <v>8</v>
      </c>
      <c r="C155" s="4" t="s">
        <v>13</v>
      </c>
      <c r="D155" s="5" t="s">
        <v>10</v>
      </c>
      <c r="E155" s="6" t="s">
        <v>11</v>
      </c>
      <c r="F155" s="4" t="s">
        <v>12</v>
      </c>
    </row>
    <row r="156" customFormat="false" ht="26.85" hidden="false" customHeight="false" outlineLevel="0" collapsed="false">
      <c r="A156" s="3" t="s">
        <v>7</v>
      </c>
      <c r="B156" s="3" t="s">
        <v>8</v>
      </c>
      <c r="C156" s="4" t="s">
        <v>14</v>
      </c>
      <c r="D156" s="5" t="s">
        <v>10</v>
      </c>
      <c r="E156" s="6" t="s">
        <v>11</v>
      </c>
      <c r="F156" s="4" t="s">
        <v>15</v>
      </c>
    </row>
    <row r="157" customFormat="false" ht="39.55" hidden="false" customHeight="false" outlineLevel="0" collapsed="false">
      <c r="A157" s="3" t="s">
        <v>7</v>
      </c>
      <c r="B157" s="3" t="s">
        <v>8</v>
      </c>
      <c r="C157" s="4" t="s">
        <v>16</v>
      </c>
      <c r="D157" s="7" t="s">
        <v>17</v>
      </c>
      <c r="E157" s="6" t="s">
        <v>18</v>
      </c>
      <c r="F157" s="4" t="s">
        <v>19</v>
      </c>
    </row>
    <row r="158" customFormat="false" ht="26.85" hidden="false" customHeight="false" outlineLevel="0" collapsed="false">
      <c r="A158" s="3" t="s">
        <v>66</v>
      </c>
      <c r="B158" s="3" t="s">
        <v>144</v>
      </c>
      <c r="C158" s="4" t="s">
        <v>145</v>
      </c>
      <c r="D158" s="7" t="s">
        <v>17</v>
      </c>
      <c r="E158" s="6" t="s">
        <v>18</v>
      </c>
      <c r="F158" s="4" t="s">
        <v>19</v>
      </c>
    </row>
    <row r="159" customFormat="false" ht="26.85" hidden="false" customHeight="false" outlineLevel="0" collapsed="false">
      <c r="A159" s="3" t="s">
        <v>66</v>
      </c>
      <c r="B159" s="3" t="s">
        <v>144</v>
      </c>
      <c r="C159" s="4" t="s">
        <v>146</v>
      </c>
      <c r="D159" s="7" t="s">
        <v>17</v>
      </c>
      <c r="E159" s="6" t="s">
        <v>18</v>
      </c>
      <c r="F159" s="4" t="s">
        <v>19</v>
      </c>
    </row>
    <row r="160" customFormat="false" ht="26.85" hidden="false" customHeight="false" outlineLevel="0" collapsed="false">
      <c r="A160" s="3" t="s">
        <v>66</v>
      </c>
      <c r="B160" s="3" t="s">
        <v>144</v>
      </c>
      <c r="C160" s="4" t="s">
        <v>147</v>
      </c>
      <c r="D160" s="7" t="s">
        <v>17</v>
      </c>
      <c r="E160" s="6" t="s">
        <v>18</v>
      </c>
      <c r="F160" s="4" t="s">
        <v>19</v>
      </c>
    </row>
    <row r="161" customFormat="false" ht="26.85" hidden="false" customHeight="false" outlineLevel="0" collapsed="false">
      <c r="A161" s="3" t="s">
        <v>66</v>
      </c>
      <c r="B161" s="3" t="s">
        <v>148</v>
      </c>
      <c r="C161" s="4" t="s">
        <v>149</v>
      </c>
      <c r="D161" s="7" t="s">
        <v>17</v>
      </c>
      <c r="E161" s="6" t="s">
        <v>18</v>
      </c>
      <c r="F161" s="4" t="s">
        <v>19</v>
      </c>
    </row>
    <row r="162" customFormat="false" ht="26.85" hidden="false" customHeight="false" outlineLevel="0" collapsed="false">
      <c r="A162" s="3" t="s">
        <v>66</v>
      </c>
      <c r="B162" s="3" t="s">
        <v>148</v>
      </c>
      <c r="C162" s="4" t="s">
        <v>150</v>
      </c>
      <c r="D162" s="7" t="s">
        <v>17</v>
      </c>
      <c r="E162" s="6" t="s">
        <v>18</v>
      </c>
      <c r="F162" s="4" t="s">
        <v>19</v>
      </c>
    </row>
    <row r="163" customFormat="false" ht="26.85" hidden="false" customHeight="false" outlineLevel="0" collapsed="false">
      <c r="A163" s="3" t="s">
        <v>66</v>
      </c>
      <c r="B163" s="3" t="s">
        <v>148</v>
      </c>
      <c r="C163" s="4" t="s">
        <v>151</v>
      </c>
      <c r="D163" s="7" t="s">
        <v>17</v>
      </c>
      <c r="E163" s="6" t="s">
        <v>18</v>
      </c>
      <c r="F163" s="4" t="s">
        <v>19</v>
      </c>
    </row>
    <row r="164" customFormat="false" ht="26.85" hidden="false" customHeight="false" outlineLevel="0" collapsed="false">
      <c r="A164" s="3" t="s">
        <v>66</v>
      </c>
      <c r="B164" s="3" t="s">
        <v>148</v>
      </c>
      <c r="C164" s="4" t="s">
        <v>152</v>
      </c>
      <c r="D164" s="7" t="s">
        <v>17</v>
      </c>
      <c r="E164" s="6" t="s">
        <v>18</v>
      </c>
      <c r="F164" s="4" t="s">
        <v>19</v>
      </c>
    </row>
    <row r="165" customFormat="false" ht="39.55" hidden="false" customHeight="false" outlineLevel="0" collapsed="false">
      <c r="A165" s="3" t="s">
        <v>66</v>
      </c>
      <c r="B165" s="3" t="s">
        <v>148</v>
      </c>
      <c r="C165" s="4" t="s">
        <v>153</v>
      </c>
      <c r="D165" s="7" t="s">
        <v>17</v>
      </c>
      <c r="E165" s="6" t="s">
        <v>18</v>
      </c>
      <c r="F165" s="4" t="s">
        <v>19</v>
      </c>
    </row>
    <row r="166" customFormat="false" ht="26.85" hidden="false" customHeight="false" outlineLevel="0" collapsed="false">
      <c r="A166" s="3" t="s">
        <v>66</v>
      </c>
      <c r="B166" s="3" t="s">
        <v>148</v>
      </c>
      <c r="C166" s="4" t="s">
        <v>154</v>
      </c>
      <c r="D166" s="5" t="s">
        <v>10</v>
      </c>
      <c r="E166" s="6" t="s">
        <v>11</v>
      </c>
      <c r="F166" s="4" t="s">
        <v>33</v>
      </c>
    </row>
    <row r="167" customFormat="false" ht="26.85" hidden="false" customHeight="false" outlineLevel="0" collapsed="false">
      <c r="A167" s="3" t="s">
        <v>66</v>
      </c>
      <c r="B167" s="3" t="s">
        <v>148</v>
      </c>
      <c r="C167" s="4" t="s">
        <v>155</v>
      </c>
      <c r="D167" s="7" t="s">
        <v>17</v>
      </c>
      <c r="E167" s="6" t="s">
        <v>18</v>
      </c>
      <c r="F167" s="4" t="s">
        <v>19</v>
      </c>
    </row>
    <row r="168" customFormat="false" ht="26.85" hidden="false" customHeight="false" outlineLevel="0" collapsed="false">
      <c r="A168" s="3" t="s">
        <v>66</v>
      </c>
      <c r="B168" s="3" t="s">
        <v>156</v>
      </c>
      <c r="C168" s="4" t="s">
        <v>157</v>
      </c>
      <c r="D168" s="5" t="s">
        <v>10</v>
      </c>
      <c r="E168" s="6" t="s">
        <v>11</v>
      </c>
      <c r="F168" s="4" t="s">
        <v>85</v>
      </c>
    </row>
    <row r="169" customFormat="false" ht="26.85" hidden="false" customHeight="false" outlineLevel="0" collapsed="false">
      <c r="A169" s="3" t="s">
        <v>66</v>
      </c>
      <c r="B169" s="3" t="s">
        <v>156</v>
      </c>
      <c r="C169" s="4" t="s">
        <v>158</v>
      </c>
      <c r="D169" s="7" t="s">
        <v>17</v>
      </c>
      <c r="E169" s="6" t="s">
        <v>18</v>
      </c>
      <c r="F169" s="4" t="s">
        <v>19</v>
      </c>
    </row>
    <row r="170" customFormat="false" ht="26.85" hidden="false" customHeight="false" outlineLevel="0" collapsed="false">
      <c r="A170" s="3" t="s">
        <v>66</v>
      </c>
      <c r="B170" s="3" t="s">
        <v>156</v>
      </c>
      <c r="C170" s="4" t="s">
        <v>159</v>
      </c>
      <c r="D170" s="7" t="s">
        <v>17</v>
      </c>
      <c r="E170" s="6" t="s">
        <v>18</v>
      </c>
      <c r="F170" s="4" t="s">
        <v>19</v>
      </c>
    </row>
    <row r="171" customFormat="false" ht="26.85" hidden="false" customHeight="false" outlineLevel="0" collapsed="false">
      <c r="A171" s="3" t="s">
        <v>66</v>
      </c>
      <c r="B171" s="3" t="s">
        <v>156</v>
      </c>
      <c r="C171" s="4" t="s">
        <v>160</v>
      </c>
      <c r="D171" s="8" t="s">
        <v>48</v>
      </c>
      <c r="E171" s="6" t="s">
        <v>49</v>
      </c>
      <c r="F171" s="4" t="s">
        <v>161</v>
      </c>
    </row>
    <row r="172" customFormat="false" ht="26.85" hidden="false" customHeight="false" outlineLevel="0" collapsed="false">
      <c r="A172" s="3" t="s">
        <v>66</v>
      </c>
      <c r="B172" s="3" t="s">
        <v>156</v>
      </c>
      <c r="C172" s="4" t="s">
        <v>162</v>
      </c>
      <c r="D172" s="7" t="s">
        <v>17</v>
      </c>
      <c r="E172" s="6" t="s">
        <v>18</v>
      </c>
      <c r="F172" s="4" t="s">
        <v>19</v>
      </c>
    </row>
    <row r="173" customFormat="false" ht="26.85" hidden="false" customHeight="false" outlineLevel="0" collapsed="false">
      <c r="A173" s="3" t="s">
        <v>66</v>
      </c>
      <c r="B173" s="3" t="s">
        <v>156</v>
      </c>
      <c r="C173" s="4" t="s">
        <v>163</v>
      </c>
      <c r="D173" s="7" t="s">
        <v>17</v>
      </c>
      <c r="E173" s="6" t="s">
        <v>18</v>
      </c>
      <c r="F173" s="4" t="s">
        <v>19</v>
      </c>
    </row>
    <row r="174" customFormat="false" ht="26.85" hidden="false" customHeight="false" outlineLevel="0" collapsed="false">
      <c r="A174" s="3" t="s">
        <v>29</v>
      </c>
      <c r="B174" s="3" t="s">
        <v>21</v>
      </c>
      <c r="C174" s="4" t="s">
        <v>22</v>
      </c>
      <c r="D174" s="5" t="s">
        <v>10</v>
      </c>
      <c r="E174" s="6" t="s">
        <v>11</v>
      </c>
      <c r="F174" s="4" t="s">
        <v>23</v>
      </c>
    </row>
    <row r="175" customFormat="false" ht="26.85" hidden="false" customHeight="false" outlineLevel="0" collapsed="false">
      <c r="A175" s="3" t="s">
        <v>29</v>
      </c>
      <c r="B175" s="3" t="s">
        <v>21</v>
      </c>
      <c r="C175" s="4" t="s">
        <v>24</v>
      </c>
      <c r="D175" s="5" t="s">
        <v>10</v>
      </c>
      <c r="E175" s="6" t="s">
        <v>11</v>
      </c>
      <c r="F175" s="4" t="s">
        <v>25</v>
      </c>
    </row>
    <row r="176" customFormat="false" ht="26.85" hidden="false" customHeight="false" outlineLevel="0" collapsed="false">
      <c r="A176" s="3" t="s">
        <v>29</v>
      </c>
      <c r="B176" s="3" t="s">
        <v>21</v>
      </c>
      <c r="C176" s="4" t="s">
        <v>26</v>
      </c>
      <c r="D176" s="5" t="s">
        <v>10</v>
      </c>
      <c r="E176" s="6" t="s">
        <v>11</v>
      </c>
      <c r="F176" s="4" t="s">
        <v>23</v>
      </c>
    </row>
    <row r="177" customFormat="false" ht="26.85" hidden="false" customHeight="false" outlineLevel="0" collapsed="false">
      <c r="A177" s="3" t="s">
        <v>29</v>
      </c>
      <c r="B177" s="3" t="s">
        <v>21</v>
      </c>
      <c r="C177" s="4" t="s">
        <v>27</v>
      </c>
      <c r="D177" s="5" t="s">
        <v>10</v>
      </c>
      <c r="E177" s="6" t="s">
        <v>11</v>
      </c>
      <c r="F177" s="4" t="s">
        <v>25</v>
      </c>
    </row>
    <row r="178" customFormat="false" ht="26.85" hidden="false" customHeight="false" outlineLevel="0" collapsed="false">
      <c r="A178" s="3" t="s">
        <v>29</v>
      </c>
      <c r="B178" s="3" t="s">
        <v>21</v>
      </c>
      <c r="C178" s="4" t="s">
        <v>28</v>
      </c>
      <c r="D178" s="7" t="s">
        <v>17</v>
      </c>
      <c r="E178" s="6" t="s">
        <v>18</v>
      </c>
      <c r="F178" s="4" t="s">
        <v>19</v>
      </c>
    </row>
    <row r="179" customFormat="false" ht="26.85" hidden="false" customHeight="false" outlineLevel="0" collapsed="false">
      <c r="A179" s="3" t="s">
        <v>164</v>
      </c>
      <c r="B179" s="3" t="s">
        <v>165</v>
      </c>
      <c r="C179" s="4" t="s">
        <v>166</v>
      </c>
      <c r="D179" s="7" t="s">
        <v>17</v>
      </c>
      <c r="E179" s="6" t="s">
        <v>18</v>
      </c>
      <c r="F179" s="4" t="s">
        <v>19</v>
      </c>
    </row>
    <row r="180" customFormat="false" ht="26.85" hidden="false" customHeight="false" outlineLevel="0" collapsed="false">
      <c r="A180" s="3" t="s">
        <v>164</v>
      </c>
      <c r="B180" s="3" t="s">
        <v>165</v>
      </c>
      <c r="C180" s="4" t="s">
        <v>167</v>
      </c>
      <c r="D180" s="7" t="s">
        <v>17</v>
      </c>
      <c r="E180" s="6" t="s">
        <v>18</v>
      </c>
      <c r="F180" s="4" t="s">
        <v>19</v>
      </c>
    </row>
    <row r="181" customFormat="false" ht="26.85" hidden="false" customHeight="false" outlineLevel="0" collapsed="false">
      <c r="A181" s="3" t="s">
        <v>164</v>
      </c>
      <c r="B181" s="3" t="s">
        <v>165</v>
      </c>
      <c r="C181" s="4" t="s">
        <v>168</v>
      </c>
      <c r="D181" s="5" t="s">
        <v>10</v>
      </c>
      <c r="E181" s="6" t="s">
        <v>11</v>
      </c>
      <c r="F181" s="4" t="s">
        <v>37</v>
      </c>
    </row>
    <row r="182" customFormat="false" ht="26.85" hidden="false" customHeight="false" outlineLevel="0" collapsed="false">
      <c r="A182" s="3" t="s">
        <v>164</v>
      </c>
      <c r="B182" s="3" t="s">
        <v>165</v>
      </c>
      <c r="C182" s="4" t="s">
        <v>169</v>
      </c>
      <c r="D182" s="7" t="s">
        <v>17</v>
      </c>
      <c r="E182" s="6" t="s">
        <v>18</v>
      </c>
      <c r="F182" s="4" t="s">
        <v>19</v>
      </c>
    </row>
    <row r="183" customFormat="false" ht="26.85" hidden="false" customHeight="false" outlineLevel="0" collapsed="false">
      <c r="A183" s="3" t="s">
        <v>164</v>
      </c>
      <c r="B183" s="3" t="s">
        <v>165</v>
      </c>
      <c r="C183" s="4" t="s">
        <v>170</v>
      </c>
      <c r="D183" s="7" t="s">
        <v>17</v>
      </c>
      <c r="E183" s="6" t="s">
        <v>18</v>
      </c>
      <c r="F183" s="4" t="s">
        <v>19</v>
      </c>
    </row>
    <row r="184" customFormat="false" ht="26.85" hidden="false" customHeight="false" outlineLevel="0" collapsed="false">
      <c r="A184" s="3" t="s">
        <v>164</v>
      </c>
      <c r="B184" s="3" t="s">
        <v>42</v>
      </c>
      <c r="C184" s="4" t="s">
        <v>43</v>
      </c>
      <c r="D184" s="7" t="s">
        <v>17</v>
      </c>
      <c r="E184" s="6" t="s">
        <v>18</v>
      </c>
      <c r="F184" s="4" t="s">
        <v>19</v>
      </c>
    </row>
    <row r="185" customFormat="false" ht="26.85" hidden="false" customHeight="false" outlineLevel="0" collapsed="false">
      <c r="A185" s="3" t="s">
        <v>164</v>
      </c>
      <c r="B185" s="3" t="s">
        <v>42</v>
      </c>
      <c r="C185" s="4" t="s">
        <v>44</v>
      </c>
      <c r="D185" s="7" t="s">
        <v>17</v>
      </c>
      <c r="E185" s="6" t="s">
        <v>18</v>
      </c>
      <c r="F185" s="4" t="s">
        <v>19</v>
      </c>
    </row>
    <row r="186" customFormat="false" ht="26.85" hidden="false" customHeight="false" outlineLevel="0" collapsed="false">
      <c r="A186" s="3" t="s">
        <v>164</v>
      </c>
      <c r="B186" s="3" t="s">
        <v>42</v>
      </c>
      <c r="C186" s="4" t="s">
        <v>45</v>
      </c>
      <c r="D186" s="5" t="s">
        <v>10</v>
      </c>
      <c r="E186" s="6" t="s">
        <v>11</v>
      </c>
      <c r="F186" s="4" t="s">
        <v>15</v>
      </c>
    </row>
    <row r="187" customFormat="false" ht="26.85" hidden="false" customHeight="false" outlineLevel="0" collapsed="false">
      <c r="A187" s="3" t="s">
        <v>7</v>
      </c>
      <c r="B187" s="3" t="s">
        <v>171</v>
      </c>
      <c r="C187" s="4" t="s">
        <v>172</v>
      </c>
      <c r="D187" s="7" t="s">
        <v>17</v>
      </c>
      <c r="E187" s="6" t="s">
        <v>18</v>
      </c>
      <c r="F187" s="4" t="s">
        <v>19</v>
      </c>
    </row>
    <row r="188" customFormat="false" ht="26.85" hidden="false" customHeight="false" outlineLevel="0" collapsed="false">
      <c r="A188" s="3" t="s">
        <v>7</v>
      </c>
      <c r="B188" s="3" t="s">
        <v>171</v>
      </c>
      <c r="C188" s="4" t="s">
        <v>173</v>
      </c>
      <c r="D188" s="7" t="s">
        <v>17</v>
      </c>
      <c r="E188" s="6" t="s">
        <v>18</v>
      </c>
      <c r="F188" s="4" t="s">
        <v>19</v>
      </c>
    </row>
    <row r="189" customFormat="false" ht="26.85" hidden="false" customHeight="false" outlineLevel="0" collapsed="false">
      <c r="A189" s="3" t="s">
        <v>7</v>
      </c>
      <c r="B189" s="3" t="s">
        <v>171</v>
      </c>
      <c r="C189" s="4" t="s">
        <v>174</v>
      </c>
      <c r="D189" s="7" t="s">
        <v>17</v>
      </c>
      <c r="E189" s="6" t="s">
        <v>18</v>
      </c>
      <c r="F189" s="4" t="s">
        <v>19</v>
      </c>
    </row>
    <row r="190" customFormat="false" ht="26.85" hidden="false" customHeight="false" outlineLevel="0" collapsed="false">
      <c r="A190" s="3" t="s">
        <v>164</v>
      </c>
      <c r="B190" s="3" t="s">
        <v>175</v>
      </c>
      <c r="C190" s="4" t="s">
        <v>176</v>
      </c>
      <c r="D190" s="7" t="s">
        <v>17</v>
      </c>
      <c r="E190" s="6" t="s">
        <v>18</v>
      </c>
      <c r="F190" s="4" t="s">
        <v>19</v>
      </c>
    </row>
    <row r="191" customFormat="false" ht="26.85" hidden="false" customHeight="false" outlineLevel="0" collapsed="false">
      <c r="A191" s="3" t="s">
        <v>164</v>
      </c>
      <c r="B191" s="3" t="s">
        <v>175</v>
      </c>
      <c r="C191" s="4" t="s">
        <v>177</v>
      </c>
      <c r="D191" s="7" t="s">
        <v>17</v>
      </c>
      <c r="E191" s="6" t="s">
        <v>18</v>
      </c>
      <c r="F191" s="4" t="s">
        <v>19</v>
      </c>
    </row>
    <row r="192" customFormat="false" ht="26.85" hidden="false" customHeight="false" outlineLevel="0" collapsed="false">
      <c r="A192" s="3" t="s">
        <v>164</v>
      </c>
      <c r="B192" s="3" t="s">
        <v>175</v>
      </c>
      <c r="C192" s="4" t="s">
        <v>178</v>
      </c>
      <c r="D192" s="5" t="s">
        <v>10</v>
      </c>
      <c r="E192" s="6" t="s">
        <v>11</v>
      </c>
      <c r="F192" s="4" t="s">
        <v>37</v>
      </c>
    </row>
    <row r="193" customFormat="false" ht="26.85" hidden="false" customHeight="false" outlineLevel="0" collapsed="false">
      <c r="A193" s="3" t="s">
        <v>164</v>
      </c>
      <c r="B193" s="3" t="s">
        <v>175</v>
      </c>
      <c r="C193" s="4" t="s">
        <v>179</v>
      </c>
      <c r="D193" s="7" t="s">
        <v>17</v>
      </c>
      <c r="E193" s="6" t="s">
        <v>18</v>
      </c>
      <c r="F193" s="4" t="s">
        <v>19</v>
      </c>
    </row>
    <row r="194" customFormat="false" ht="26.85" hidden="false" customHeight="false" outlineLevel="0" collapsed="false">
      <c r="A194" s="3" t="s">
        <v>164</v>
      </c>
      <c r="B194" s="3" t="s">
        <v>175</v>
      </c>
      <c r="C194" s="4" t="s">
        <v>180</v>
      </c>
      <c r="D194" s="5" t="s">
        <v>10</v>
      </c>
      <c r="E194" s="6" t="s">
        <v>11</v>
      </c>
      <c r="F194" s="4" t="s">
        <v>37</v>
      </c>
    </row>
    <row r="195" customFormat="false" ht="26.85" hidden="false" customHeight="false" outlineLevel="0" collapsed="false">
      <c r="A195" s="3" t="s">
        <v>7</v>
      </c>
      <c r="B195" s="3" t="s">
        <v>8</v>
      </c>
      <c r="C195" s="4" t="s">
        <v>9</v>
      </c>
      <c r="D195" s="5" t="s">
        <v>10</v>
      </c>
      <c r="E195" s="6" t="s">
        <v>11</v>
      </c>
      <c r="F195" s="4" t="s">
        <v>12</v>
      </c>
    </row>
    <row r="196" customFormat="false" ht="26.85" hidden="false" customHeight="false" outlineLevel="0" collapsed="false">
      <c r="A196" s="3" t="s">
        <v>7</v>
      </c>
      <c r="B196" s="3" t="s">
        <v>8</v>
      </c>
      <c r="C196" s="4" t="s">
        <v>13</v>
      </c>
      <c r="D196" s="5" t="s">
        <v>10</v>
      </c>
      <c r="E196" s="6" t="s">
        <v>11</v>
      </c>
      <c r="F196" s="4" t="s">
        <v>12</v>
      </c>
    </row>
    <row r="197" customFormat="false" ht="26.85" hidden="false" customHeight="false" outlineLevel="0" collapsed="false">
      <c r="A197" s="3" t="s">
        <v>7</v>
      </c>
      <c r="B197" s="3" t="s">
        <v>8</v>
      </c>
      <c r="C197" s="4" t="s">
        <v>14</v>
      </c>
      <c r="D197" s="5" t="s">
        <v>10</v>
      </c>
      <c r="E197" s="6" t="s">
        <v>11</v>
      </c>
      <c r="F197" s="4" t="s">
        <v>15</v>
      </c>
    </row>
    <row r="198" customFormat="false" ht="39.55" hidden="false" customHeight="false" outlineLevel="0" collapsed="false">
      <c r="A198" s="3" t="s">
        <v>7</v>
      </c>
      <c r="B198" s="3" t="s">
        <v>8</v>
      </c>
      <c r="C198" s="4" t="s">
        <v>16</v>
      </c>
      <c r="D198" s="7" t="s">
        <v>17</v>
      </c>
      <c r="E198" s="6" t="s">
        <v>18</v>
      </c>
      <c r="F198" s="4" t="s">
        <v>19</v>
      </c>
    </row>
    <row r="199" customFormat="false" ht="26.85" hidden="false" customHeight="false" outlineLevel="0" collapsed="false">
      <c r="A199" s="3" t="s">
        <v>164</v>
      </c>
      <c r="B199" s="3" t="s">
        <v>181</v>
      </c>
      <c r="C199" s="4" t="s">
        <v>182</v>
      </c>
      <c r="D199" s="7" t="s">
        <v>17</v>
      </c>
      <c r="E199" s="6" t="s">
        <v>18</v>
      </c>
      <c r="F199" s="4" t="s">
        <v>19</v>
      </c>
    </row>
    <row r="200" customFormat="false" ht="26.85" hidden="false" customHeight="false" outlineLevel="0" collapsed="false">
      <c r="A200" s="3" t="s">
        <v>7</v>
      </c>
      <c r="B200" s="3" t="s">
        <v>183</v>
      </c>
      <c r="C200" s="4" t="s">
        <v>184</v>
      </c>
      <c r="D200" s="7" t="s">
        <v>17</v>
      </c>
      <c r="E200" s="6" t="s">
        <v>18</v>
      </c>
      <c r="F200" s="4" t="s">
        <v>19</v>
      </c>
    </row>
    <row r="201" customFormat="false" ht="26.85" hidden="false" customHeight="false" outlineLevel="0" collapsed="false">
      <c r="A201" s="3" t="s">
        <v>164</v>
      </c>
      <c r="B201" s="3" t="s">
        <v>185</v>
      </c>
      <c r="C201" s="4" t="s">
        <v>186</v>
      </c>
      <c r="D201" s="7" t="s">
        <v>17</v>
      </c>
      <c r="E201" s="6" t="s">
        <v>18</v>
      </c>
      <c r="F201" s="4" t="s">
        <v>19</v>
      </c>
    </row>
    <row r="202" customFormat="false" ht="26.85" hidden="false" customHeight="false" outlineLevel="0" collapsed="false">
      <c r="A202" s="3" t="s">
        <v>164</v>
      </c>
      <c r="B202" s="3" t="s">
        <v>185</v>
      </c>
      <c r="C202" s="4" t="s">
        <v>187</v>
      </c>
      <c r="D202" s="7" t="s">
        <v>17</v>
      </c>
      <c r="E202" s="6" t="s">
        <v>18</v>
      </c>
      <c r="F202" s="4" t="s">
        <v>19</v>
      </c>
    </row>
    <row r="203" customFormat="false" ht="26.85" hidden="false" customHeight="false" outlineLevel="0" collapsed="false">
      <c r="A203" s="3" t="s">
        <v>7</v>
      </c>
      <c r="B203" s="3" t="s">
        <v>188</v>
      </c>
      <c r="C203" s="4" t="s">
        <v>189</v>
      </c>
      <c r="D203" s="7" t="s">
        <v>17</v>
      </c>
      <c r="E203" s="6" t="s">
        <v>18</v>
      </c>
      <c r="F203" s="4" t="s">
        <v>19</v>
      </c>
    </row>
    <row r="204" customFormat="false" ht="26.85" hidden="false" customHeight="false" outlineLevel="0" collapsed="false">
      <c r="A204" s="3" t="s">
        <v>7</v>
      </c>
      <c r="B204" s="3" t="s">
        <v>188</v>
      </c>
      <c r="C204" s="4" t="s">
        <v>190</v>
      </c>
      <c r="D204" s="7" t="s">
        <v>17</v>
      </c>
      <c r="E204" s="6" t="s">
        <v>18</v>
      </c>
      <c r="F204" s="4" t="s">
        <v>19</v>
      </c>
    </row>
    <row r="205" customFormat="false" ht="26.85" hidden="false" customHeight="false" outlineLevel="0" collapsed="false">
      <c r="A205" s="3" t="s">
        <v>7</v>
      </c>
      <c r="B205" s="3" t="s">
        <v>188</v>
      </c>
      <c r="C205" s="4" t="s">
        <v>191</v>
      </c>
      <c r="D205" s="7" t="s">
        <v>17</v>
      </c>
      <c r="E205" s="6" t="s">
        <v>18</v>
      </c>
      <c r="F205" s="4" t="s">
        <v>19</v>
      </c>
    </row>
    <row r="206" customFormat="false" ht="26.85" hidden="false" customHeight="false" outlineLevel="0" collapsed="false">
      <c r="A206" s="3" t="s">
        <v>7</v>
      </c>
      <c r="B206" s="3" t="s">
        <v>188</v>
      </c>
      <c r="C206" s="4" t="s">
        <v>192</v>
      </c>
      <c r="D206" s="7" t="s">
        <v>17</v>
      </c>
      <c r="E206" s="6" t="s">
        <v>18</v>
      </c>
      <c r="F206" s="4" t="s">
        <v>19</v>
      </c>
    </row>
    <row r="207" customFormat="false" ht="26.85" hidden="false" customHeight="false" outlineLevel="0" collapsed="false">
      <c r="A207" s="3" t="s">
        <v>7</v>
      </c>
      <c r="B207" s="3" t="s">
        <v>188</v>
      </c>
      <c r="C207" s="4" t="s">
        <v>193</v>
      </c>
      <c r="D207" s="5" t="s">
        <v>10</v>
      </c>
      <c r="E207" s="6" t="s">
        <v>11</v>
      </c>
      <c r="F207" s="4" t="s">
        <v>85</v>
      </c>
    </row>
    <row r="208" customFormat="false" ht="26.85" hidden="false" customHeight="false" outlineLevel="0" collapsed="false">
      <c r="A208" s="3" t="s">
        <v>164</v>
      </c>
      <c r="B208" s="3" t="s">
        <v>21</v>
      </c>
      <c r="C208" s="4" t="s">
        <v>22</v>
      </c>
      <c r="D208" s="5" t="s">
        <v>10</v>
      </c>
      <c r="E208" s="6" t="s">
        <v>11</v>
      </c>
      <c r="F208" s="4" t="s">
        <v>23</v>
      </c>
    </row>
    <row r="209" customFormat="false" ht="26.85" hidden="false" customHeight="false" outlineLevel="0" collapsed="false">
      <c r="A209" s="3" t="s">
        <v>164</v>
      </c>
      <c r="B209" s="3" t="s">
        <v>21</v>
      </c>
      <c r="C209" s="4" t="s">
        <v>24</v>
      </c>
      <c r="D209" s="5" t="s">
        <v>10</v>
      </c>
      <c r="E209" s="6" t="s">
        <v>11</v>
      </c>
      <c r="F209" s="4" t="s">
        <v>25</v>
      </c>
    </row>
    <row r="210" customFormat="false" ht="26.85" hidden="false" customHeight="false" outlineLevel="0" collapsed="false">
      <c r="A210" s="3" t="s">
        <v>164</v>
      </c>
      <c r="B210" s="3" t="s">
        <v>21</v>
      </c>
      <c r="C210" s="4" t="s">
        <v>26</v>
      </c>
      <c r="D210" s="5" t="s">
        <v>10</v>
      </c>
      <c r="E210" s="6" t="s">
        <v>11</v>
      </c>
      <c r="F210" s="4" t="s">
        <v>23</v>
      </c>
    </row>
    <row r="211" customFormat="false" ht="26.85" hidden="false" customHeight="false" outlineLevel="0" collapsed="false">
      <c r="A211" s="3" t="s">
        <v>164</v>
      </c>
      <c r="B211" s="3" t="s">
        <v>21</v>
      </c>
      <c r="C211" s="4" t="s">
        <v>27</v>
      </c>
      <c r="D211" s="5" t="s">
        <v>10</v>
      </c>
      <c r="E211" s="6" t="s">
        <v>11</v>
      </c>
      <c r="F211" s="4" t="s">
        <v>25</v>
      </c>
    </row>
    <row r="212" customFormat="false" ht="26.85" hidden="false" customHeight="false" outlineLevel="0" collapsed="false">
      <c r="A212" s="3" t="s">
        <v>164</v>
      </c>
      <c r="B212" s="3" t="s">
        <v>21</v>
      </c>
      <c r="C212" s="4" t="s">
        <v>28</v>
      </c>
      <c r="D212" s="7" t="s">
        <v>17</v>
      </c>
      <c r="E212" s="6" t="s">
        <v>18</v>
      </c>
      <c r="F212" s="4" t="s">
        <v>19</v>
      </c>
    </row>
    <row r="213" customFormat="false" ht="26.85" hidden="false" customHeight="false" outlineLevel="0" collapsed="false">
      <c r="A213" s="3" t="s">
        <v>164</v>
      </c>
      <c r="B213" s="3" t="s">
        <v>194</v>
      </c>
      <c r="C213" s="4" t="s">
        <v>195</v>
      </c>
      <c r="D213" s="7" t="s">
        <v>17</v>
      </c>
      <c r="E213" s="6" t="s">
        <v>18</v>
      </c>
      <c r="F213" s="4" t="s">
        <v>19</v>
      </c>
    </row>
    <row r="214" customFormat="false" ht="26.85" hidden="false" customHeight="false" outlineLevel="0" collapsed="false">
      <c r="A214" s="3" t="s">
        <v>164</v>
      </c>
      <c r="B214" s="3" t="s">
        <v>194</v>
      </c>
      <c r="C214" s="4" t="s">
        <v>196</v>
      </c>
      <c r="D214" s="7" t="s">
        <v>17</v>
      </c>
      <c r="E214" s="6" t="s">
        <v>18</v>
      </c>
      <c r="F214" s="4" t="s">
        <v>19</v>
      </c>
    </row>
    <row r="215" customFormat="false" ht="26.85" hidden="false" customHeight="false" outlineLevel="0" collapsed="false">
      <c r="A215" s="3" t="s">
        <v>164</v>
      </c>
      <c r="B215" s="3" t="s">
        <v>194</v>
      </c>
      <c r="C215" s="4" t="s">
        <v>197</v>
      </c>
      <c r="D215" s="7" t="s">
        <v>17</v>
      </c>
      <c r="E215" s="6" t="s">
        <v>18</v>
      </c>
      <c r="F215" s="4" t="s">
        <v>19</v>
      </c>
    </row>
    <row r="216" customFormat="false" ht="26.85" hidden="false" customHeight="false" outlineLevel="0" collapsed="false">
      <c r="A216" s="3" t="s">
        <v>164</v>
      </c>
      <c r="B216" s="3" t="s">
        <v>194</v>
      </c>
      <c r="C216" s="4" t="s">
        <v>198</v>
      </c>
      <c r="D216" s="7" t="s">
        <v>17</v>
      </c>
      <c r="E216" s="6" t="s">
        <v>18</v>
      </c>
      <c r="F216" s="4" t="s">
        <v>19</v>
      </c>
    </row>
    <row r="217" customFormat="false" ht="26.85" hidden="false" customHeight="false" outlineLevel="0" collapsed="false">
      <c r="A217" s="3" t="s">
        <v>164</v>
      </c>
      <c r="B217" s="3" t="s">
        <v>199</v>
      </c>
      <c r="C217" s="4" t="s">
        <v>200</v>
      </c>
      <c r="D217" s="7" t="s">
        <v>17</v>
      </c>
      <c r="E217" s="6" t="s">
        <v>18</v>
      </c>
      <c r="F217" s="4" t="s">
        <v>19</v>
      </c>
    </row>
    <row r="218" customFormat="false" ht="26.85" hidden="false" customHeight="false" outlineLevel="0" collapsed="false">
      <c r="A218" s="3" t="s">
        <v>164</v>
      </c>
      <c r="B218" s="3" t="s">
        <v>199</v>
      </c>
      <c r="C218" s="4" t="s">
        <v>201</v>
      </c>
      <c r="D218" s="5" t="s">
        <v>10</v>
      </c>
      <c r="E218" s="6" t="s">
        <v>11</v>
      </c>
      <c r="F218" s="4" t="s">
        <v>202</v>
      </c>
    </row>
    <row r="219" customFormat="false" ht="26.85" hidden="false" customHeight="false" outlineLevel="0" collapsed="false">
      <c r="A219" s="3" t="s">
        <v>164</v>
      </c>
      <c r="B219" s="3" t="s">
        <v>199</v>
      </c>
      <c r="C219" s="4" t="s">
        <v>203</v>
      </c>
      <c r="D219" s="7" t="s">
        <v>17</v>
      </c>
      <c r="E219" s="6" t="s">
        <v>18</v>
      </c>
      <c r="F219" s="4" t="s">
        <v>19</v>
      </c>
    </row>
    <row r="220" customFormat="false" ht="26.85" hidden="false" customHeight="false" outlineLevel="0" collapsed="false">
      <c r="A220" s="3" t="s">
        <v>164</v>
      </c>
      <c r="B220" s="3" t="s">
        <v>199</v>
      </c>
      <c r="C220" s="4" t="s">
        <v>204</v>
      </c>
      <c r="D220" s="5" t="s">
        <v>10</v>
      </c>
      <c r="E220" s="6" t="s">
        <v>11</v>
      </c>
      <c r="F220" s="4" t="s">
        <v>205</v>
      </c>
    </row>
    <row r="221" customFormat="false" ht="26.85" hidden="false" customHeight="false" outlineLevel="0" collapsed="false">
      <c r="A221" s="3" t="s">
        <v>164</v>
      </c>
      <c r="B221" s="3" t="s">
        <v>206</v>
      </c>
      <c r="C221" s="4" t="s">
        <v>207</v>
      </c>
      <c r="D221" s="7" t="s">
        <v>17</v>
      </c>
      <c r="E221" s="6" t="s">
        <v>18</v>
      </c>
      <c r="F221" s="4" t="s">
        <v>19</v>
      </c>
    </row>
    <row r="222" customFormat="false" ht="26.85" hidden="false" customHeight="false" outlineLevel="0" collapsed="false">
      <c r="A222" s="3" t="s">
        <v>7</v>
      </c>
      <c r="B222" s="3" t="s">
        <v>208</v>
      </c>
      <c r="C222" s="4" t="s">
        <v>209</v>
      </c>
      <c r="D222" s="7" t="s">
        <v>17</v>
      </c>
      <c r="E222" s="6" t="s">
        <v>18</v>
      </c>
      <c r="F222" s="4" t="s">
        <v>19</v>
      </c>
    </row>
    <row r="223" customFormat="false" ht="26.85" hidden="false" customHeight="false" outlineLevel="0" collapsed="false">
      <c r="A223" s="3" t="s">
        <v>68</v>
      </c>
      <c r="B223" s="3" t="s">
        <v>42</v>
      </c>
      <c r="C223" s="4" t="s">
        <v>43</v>
      </c>
      <c r="D223" s="7" t="s">
        <v>17</v>
      </c>
      <c r="E223" s="6" t="s">
        <v>18</v>
      </c>
      <c r="F223" s="4" t="s">
        <v>19</v>
      </c>
    </row>
    <row r="224" customFormat="false" ht="26.85" hidden="false" customHeight="false" outlineLevel="0" collapsed="false">
      <c r="A224" s="3" t="s">
        <v>68</v>
      </c>
      <c r="B224" s="3" t="s">
        <v>42</v>
      </c>
      <c r="C224" s="4" t="s">
        <v>44</v>
      </c>
      <c r="D224" s="7" t="s">
        <v>17</v>
      </c>
      <c r="E224" s="6" t="s">
        <v>18</v>
      </c>
      <c r="F224" s="4" t="s">
        <v>19</v>
      </c>
    </row>
    <row r="225" customFormat="false" ht="26.85" hidden="false" customHeight="false" outlineLevel="0" collapsed="false">
      <c r="A225" s="3" t="s">
        <v>68</v>
      </c>
      <c r="B225" s="3" t="s">
        <v>42</v>
      </c>
      <c r="C225" s="4" t="s">
        <v>45</v>
      </c>
      <c r="D225" s="5" t="s">
        <v>10</v>
      </c>
      <c r="E225" s="6" t="s">
        <v>11</v>
      </c>
      <c r="F225" s="4" t="s">
        <v>15</v>
      </c>
    </row>
    <row r="226" customFormat="false" ht="26.85" hidden="false" customHeight="false" outlineLevel="0" collapsed="false">
      <c r="A226" s="3" t="s">
        <v>7</v>
      </c>
      <c r="B226" s="3" t="s">
        <v>8</v>
      </c>
      <c r="C226" s="4" t="s">
        <v>9</v>
      </c>
      <c r="D226" s="5" t="s">
        <v>10</v>
      </c>
      <c r="E226" s="6" t="s">
        <v>11</v>
      </c>
      <c r="F226" s="4" t="s">
        <v>12</v>
      </c>
    </row>
    <row r="227" customFormat="false" ht="26.85" hidden="false" customHeight="false" outlineLevel="0" collapsed="false">
      <c r="A227" s="3" t="s">
        <v>7</v>
      </c>
      <c r="B227" s="3" t="s">
        <v>8</v>
      </c>
      <c r="C227" s="4" t="s">
        <v>13</v>
      </c>
      <c r="D227" s="5" t="s">
        <v>10</v>
      </c>
      <c r="E227" s="6" t="s">
        <v>11</v>
      </c>
      <c r="F227" s="4" t="s">
        <v>12</v>
      </c>
    </row>
    <row r="228" customFormat="false" ht="26.85" hidden="false" customHeight="false" outlineLevel="0" collapsed="false">
      <c r="A228" s="3" t="s">
        <v>7</v>
      </c>
      <c r="B228" s="3" t="s">
        <v>8</v>
      </c>
      <c r="C228" s="4" t="s">
        <v>14</v>
      </c>
      <c r="D228" s="5" t="s">
        <v>10</v>
      </c>
      <c r="E228" s="6" t="s">
        <v>11</v>
      </c>
      <c r="F228" s="4" t="s">
        <v>15</v>
      </c>
    </row>
    <row r="229" customFormat="false" ht="39.55" hidden="false" customHeight="false" outlineLevel="0" collapsed="false">
      <c r="A229" s="3" t="s">
        <v>7</v>
      </c>
      <c r="B229" s="3" t="s">
        <v>8</v>
      </c>
      <c r="C229" s="4" t="s">
        <v>16</v>
      </c>
      <c r="D229" s="7" t="s">
        <v>17</v>
      </c>
      <c r="E229" s="6" t="s">
        <v>18</v>
      </c>
      <c r="F229" s="4" t="s">
        <v>19</v>
      </c>
    </row>
    <row r="230" customFormat="false" ht="26.85" hidden="false" customHeight="false" outlineLevel="0" collapsed="false">
      <c r="A230" s="3" t="s">
        <v>68</v>
      </c>
      <c r="B230" s="3" t="s">
        <v>21</v>
      </c>
      <c r="C230" s="4" t="s">
        <v>22</v>
      </c>
      <c r="D230" s="5" t="s">
        <v>10</v>
      </c>
      <c r="E230" s="6" t="s">
        <v>11</v>
      </c>
      <c r="F230" s="4" t="s">
        <v>23</v>
      </c>
    </row>
    <row r="231" customFormat="false" ht="26.85" hidden="false" customHeight="false" outlineLevel="0" collapsed="false">
      <c r="A231" s="3" t="s">
        <v>68</v>
      </c>
      <c r="B231" s="3" t="s">
        <v>21</v>
      </c>
      <c r="C231" s="4" t="s">
        <v>24</v>
      </c>
      <c r="D231" s="5" t="s">
        <v>10</v>
      </c>
      <c r="E231" s="6" t="s">
        <v>11</v>
      </c>
      <c r="F231" s="4" t="s">
        <v>25</v>
      </c>
    </row>
    <row r="232" customFormat="false" ht="26.85" hidden="false" customHeight="false" outlineLevel="0" collapsed="false">
      <c r="A232" s="3" t="s">
        <v>68</v>
      </c>
      <c r="B232" s="3" t="s">
        <v>21</v>
      </c>
      <c r="C232" s="4" t="s">
        <v>26</v>
      </c>
      <c r="D232" s="5" t="s">
        <v>10</v>
      </c>
      <c r="E232" s="6" t="s">
        <v>11</v>
      </c>
      <c r="F232" s="4" t="s">
        <v>23</v>
      </c>
    </row>
    <row r="233" customFormat="false" ht="26.85" hidden="false" customHeight="false" outlineLevel="0" collapsed="false">
      <c r="A233" s="3" t="s">
        <v>68</v>
      </c>
      <c r="B233" s="3" t="s">
        <v>21</v>
      </c>
      <c r="C233" s="4" t="s">
        <v>27</v>
      </c>
      <c r="D233" s="5" t="s">
        <v>10</v>
      </c>
      <c r="E233" s="6" t="s">
        <v>11</v>
      </c>
      <c r="F233" s="4" t="s">
        <v>25</v>
      </c>
    </row>
    <row r="234" customFormat="false" ht="26.85" hidden="false" customHeight="false" outlineLevel="0" collapsed="false">
      <c r="A234" s="3" t="s">
        <v>68</v>
      </c>
      <c r="B234" s="3" t="s">
        <v>21</v>
      </c>
      <c r="C234" s="4" t="s">
        <v>28</v>
      </c>
      <c r="D234" s="7" t="s">
        <v>17</v>
      </c>
      <c r="E234" s="6" t="s">
        <v>18</v>
      </c>
      <c r="F234" s="4" t="s">
        <v>19</v>
      </c>
    </row>
    <row r="235" customFormat="false" ht="26.85" hidden="false" customHeight="false" outlineLevel="0" collapsed="false">
      <c r="A235" s="3" t="s">
        <v>7</v>
      </c>
      <c r="B235" s="3" t="s">
        <v>210</v>
      </c>
      <c r="C235" s="4" t="s">
        <v>211</v>
      </c>
      <c r="D235" s="5" t="s">
        <v>10</v>
      </c>
      <c r="E235" s="6" t="s">
        <v>11</v>
      </c>
      <c r="F235" s="4" t="s">
        <v>37</v>
      </c>
    </row>
    <row r="236" customFormat="false" ht="26.85" hidden="false" customHeight="false" outlineLevel="0" collapsed="false">
      <c r="A236" s="3" t="s">
        <v>7</v>
      </c>
      <c r="B236" s="3" t="s">
        <v>210</v>
      </c>
      <c r="C236" s="4" t="s">
        <v>212</v>
      </c>
      <c r="D236" s="5" t="s">
        <v>10</v>
      </c>
      <c r="E236" s="6" t="s">
        <v>11</v>
      </c>
      <c r="F236" s="4" t="s">
        <v>213</v>
      </c>
    </row>
    <row r="237" customFormat="false" ht="26.85" hidden="false" customHeight="false" outlineLevel="0" collapsed="false">
      <c r="A237" s="3" t="s">
        <v>7</v>
      </c>
      <c r="B237" s="3" t="s">
        <v>210</v>
      </c>
      <c r="C237" s="4" t="s">
        <v>214</v>
      </c>
      <c r="D237" s="7" t="s">
        <v>17</v>
      </c>
      <c r="E237" s="6" t="s">
        <v>18</v>
      </c>
      <c r="F237" s="4" t="s">
        <v>19</v>
      </c>
    </row>
    <row r="238" customFormat="false" ht="26.85" hidden="false" customHeight="false" outlineLevel="0" collapsed="false">
      <c r="A238" s="3" t="s">
        <v>7</v>
      </c>
      <c r="B238" s="3" t="s">
        <v>210</v>
      </c>
      <c r="C238" s="4" t="s">
        <v>215</v>
      </c>
      <c r="D238" s="7" t="s">
        <v>17</v>
      </c>
      <c r="E238" s="6" t="s">
        <v>18</v>
      </c>
      <c r="F238" s="4" t="s">
        <v>19</v>
      </c>
    </row>
    <row r="239" customFormat="false" ht="26.85" hidden="false" customHeight="false" outlineLevel="0" collapsed="false">
      <c r="A239" s="3" t="s">
        <v>7</v>
      </c>
      <c r="B239" s="3" t="s">
        <v>210</v>
      </c>
      <c r="C239" s="4" t="s">
        <v>216</v>
      </c>
      <c r="D239" s="8" t="s">
        <v>48</v>
      </c>
      <c r="E239" s="6" t="s">
        <v>49</v>
      </c>
      <c r="F239" s="4" t="s">
        <v>217</v>
      </c>
    </row>
    <row r="240" customFormat="false" ht="26.85" hidden="false" customHeight="false" outlineLevel="0" collapsed="false">
      <c r="A240" s="3" t="s">
        <v>7</v>
      </c>
      <c r="B240" s="3" t="s">
        <v>210</v>
      </c>
      <c r="C240" s="4" t="s">
        <v>218</v>
      </c>
      <c r="D240" s="7" t="s">
        <v>17</v>
      </c>
      <c r="E240" s="6" t="s">
        <v>18</v>
      </c>
      <c r="F240" s="4" t="s">
        <v>19</v>
      </c>
    </row>
    <row r="241" customFormat="false" ht="26.85" hidden="false" customHeight="false" outlineLevel="0" collapsed="false">
      <c r="A241" s="3" t="s">
        <v>7</v>
      </c>
      <c r="B241" s="3" t="s">
        <v>210</v>
      </c>
      <c r="C241" s="4" t="s">
        <v>219</v>
      </c>
      <c r="D241" s="7" t="s">
        <v>17</v>
      </c>
      <c r="E241" s="6" t="s">
        <v>18</v>
      </c>
      <c r="F241" s="4" t="s">
        <v>19</v>
      </c>
    </row>
    <row r="242" customFormat="false" ht="26.85" hidden="false" customHeight="false" outlineLevel="0" collapsed="false">
      <c r="A242" s="3" t="s">
        <v>7</v>
      </c>
      <c r="B242" s="3" t="s">
        <v>210</v>
      </c>
      <c r="C242" s="4" t="s">
        <v>220</v>
      </c>
      <c r="D242" s="7" t="s">
        <v>17</v>
      </c>
      <c r="E242" s="6" t="s">
        <v>18</v>
      </c>
      <c r="F242" s="4" t="s">
        <v>19</v>
      </c>
    </row>
    <row r="243" customFormat="false" ht="39.55" hidden="false" customHeight="false" outlineLevel="0" collapsed="false">
      <c r="A243" s="3" t="s">
        <v>7</v>
      </c>
      <c r="B243" s="3" t="s">
        <v>210</v>
      </c>
      <c r="C243" s="4" t="s">
        <v>221</v>
      </c>
      <c r="D243" s="7" t="s">
        <v>17</v>
      </c>
      <c r="E243" s="6" t="s">
        <v>18</v>
      </c>
      <c r="F243" s="4" t="s">
        <v>19</v>
      </c>
    </row>
    <row r="244" customFormat="false" ht="26.85" hidden="false" customHeight="false" outlineLevel="0" collapsed="false">
      <c r="A244" s="3" t="s">
        <v>7</v>
      </c>
      <c r="B244" s="3" t="s">
        <v>210</v>
      </c>
      <c r="C244" s="4" t="s">
        <v>222</v>
      </c>
      <c r="D244" s="7" t="s">
        <v>17</v>
      </c>
      <c r="E244" s="6" t="s">
        <v>18</v>
      </c>
      <c r="F244" s="4" t="s">
        <v>19</v>
      </c>
    </row>
    <row r="245" customFormat="false" ht="26.85" hidden="false" customHeight="false" outlineLevel="0" collapsed="false">
      <c r="A245" s="3" t="s">
        <v>7</v>
      </c>
      <c r="B245" s="3" t="s">
        <v>42</v>
      </c>
      <c r="C245" s="4" t="s">
        <v>43</v>
      </c>
      <c r="D245" s="7" t="s">
        <v>17</v>
      </c>
      <c r="E245" s="6" t="s">
        <v>18</v>
      </c>
      <c r="F245" s="4" t="s">
        <v>19</v>
      </c>
    </row>
    <row r="246" customFormat="false" ht="26.85" hidden="false" customHeight="false" outlineLevel="0" collapsed="false">
      <c r="A246" s="3" t="s">
        <v>7</v>
      </c>
      <c r="B246" s="3" t="s">
        <v>42</v>
      </c>
      <c r="C246" s="4" t="s">
        <v>44</v>
      </c>
      <c r="D246" s="7" t="s">
        <v>17</v>
      </c>
      <c r="E246" s="6" t="s">
        <v>18</v>
      </c>
      <c r="F246" s="4" t="s">
        <v>19</v>
      </c>
    </row>
    <row r="247" customFormat="false" ht="26.85" hidden="false" customHeight="false" outlineLevel="0" collapsed="false">
      <c r="A247" s="3" t="s">
        <v>7</v>
      </c>
      <c r="B247" s="3" t="s">
        <v>42</v>
      </c>
      <c r="C247" s="4" t="s">
        <v>45</v>
      </c>
      <c r="D247" s="5" t="s">
        <v>10</v>
      </c>
      <c r="E247" s="6" t="s">
        <v>11</v>
      </c>
      <c r="F247" s="4" t="s">
        <v>15</v>
      </c>
    </row>
    <row r="248" customFormat="false" ht="26.85" hidden="false" customHeight="false" outlineLevel="0" collapsed="false">
      <c r="A248" s="3" t="s">
        <v>210</v>
      </c>
      <c r="B248" s="3" t="s">
        <v>8</v>
      </c>
      <c r="C248" s="4" t="s">
        <v>9</v>
      </c>
      <c r="D248" s="5" t="s">
        <v>10</v>
      </c>
      <c r="E248" s="6" t="s">
        <v>11</v>
      </c>
      <c r="F248" s="4" t="s">
        <v>12</v>
      </c>
    </row>
    <row r="249" customFormat="false" ht="26.85" hidden="false" customHeight="false" outlineLevel="0" collapsed="false">
      <c r="A249" s="3" t="s">
        <v>210</v>
      </c>
      <c r="B249" s="3" t="s">
        <v>8</v>
      </c>
      <c r="C249" s="4" t="s">
        <v>13</v>
      </c>
      <c r="D249" s="5" t="s">
        <v>10</v>
      </c>
      <c r="E249" s="6" t="s">
        <v>11</v>
      </c>
      <c r="F249" s="4" t="s">
        <v>12</v>
      </c>
    </row>
    <row r="250" customFormat="false" ht="26.85" hidden="false" customHeight="false" outlineLevel="0" collapsed="false">
      <c r="A250" s="3" t="s">
        <v>210</v>
      </c>
      <c r="B250" s="3" t="s">
        <v>8</v>
      </c>
      <c r="C250" s="4" t="s">
        <v>14</v>
      </c>
      <c r="D250" s="5" t="s">
        <v>10</v>
      </c>
      <c r="E250" s="6" t="s">
        <v>11</v>
      </c>
      <c r="F250" s="4" t="s">
        <v>15</v>
      </c>
    </row>
    <row r="251" customFormat="false" ht="39.55" hidden="false" customHeight="false" outlineLevel="0" collapsed="false">
      <c r="A251" s="3" t="s">
        <v>210</v>
      </c>
      <c r="B251" s="3" t="s">
        <v>8</v>
      </c>
      <c r="C251" s="4" t="s">
        <v>16</v>
      </c>
      <c r="D251" s="7" t="s">
        <v>17</v>
      </c>
      <c r="E251" s="6" t="s">
        <v>18</v>
      </c>
      <c r="F251" s="4" t="s">
        <v>19</v>
      </c>
    </row>
    <row r="252" customFormat="false" ht="26.85" hidden="false" customHeight="false" outlineLevel="0" collapsed="false">
      <c r="A252" s="3" t="s">
        <v>7</v>
      </c>
      <c r="B252" s="3" t="s">
        <v>223</v>
      </c>
      <c r="C252" s="4" t="s">
        <v>224</v>
      </c>
      <c r="D252" s="8" t="s">
        <v>48</v>
      </c>
      <c r="E252" s="6" t="s">
        <v>49</v>
      </c>
      <c r="F252" s="4" t="s">
        <v>217</v>
      </c>
    </row>
    <row r="253" customFormat="false" ht="26.85" hidden="false" customHeight="false" outlineLevel="0" collapsed="false">
      <c r="A253" s="3" t="s">
        <v>7</v>
      </c>
      <c r="B253" s="3" t="s">
        <v>223</v>
      </c>
      <c r="C253" s="4" t="s">
        <v>225</v>
      </c>
      <c r="D253" s="7" t="s">
        <v>17</v>
      </c>
      <c r="E253" s="6" t="s">
        <v>18</v>
      </c>
      <c r="F253" s="4" t="s">
        <v>19</v>
      </c>
    </row>
    <row r="254" customFormat="false" ht="39.55" hidden="false" customHeight="false" outlineLevel="0" collapsed="false">
      <c r="A254" s="3" t="s">
        <v>7</v>
      </c>
      <c r="B254" s="3" t="s">
        <v>223</v>
      </c>
      <c r="C254" s="4" t="s">
        <v>226</v>
      </c>
      <c r="D254" s="5" t="s">
        <v>10</v>
      </c>
      <c r="E254" s="6" t="s">
        <v>11</v>
      </c>
      <c r="F254" s="4" t="s">
        <v>227</v>
      </c>
    </row>
    <row r="255" customFormat="false" ht="26.85" hidden="false" customHeight="false" outlineLevel="0" collapsed="false">
      <c r="A255" s="3" t="s">
        <v>210</v>
      </c>
      <c r="B255" s="3" t="s">
        <v>228</v>
      </c>
      <c r="C255" s="4" t="s">
        <v>229</v>
      </c>
      <c r="D255" s="7" t="s">
        <v>17</v>
      </c>
      <c r="E255" s="6" t="s">
        <v>18</v>
      </c>
      <c r="F255" s="4" t="s">
        <v>19</v>
      </c>
    </row>
    <row r="256" customFormat="false" ht="26.85" hidden="false" customHeight="false" outlineLevel="0" collapsed="false">
      <c r="A256" s="3" t="s">
        <v>210</v>
      </c>
      <c r="B256" s="3" t="s">
        <v>228</v>
      </c>
      <c r="C256" s="4" t="s">
        <v>230</v>
      </c>
      <c r="D256" s="7" t="s">
        <v>17</v>
      </c>
      <c r="E256" s="6" t="s">
        <v>18</v>
      </c>
      <c r="F256" s="4" t="s">
        <v>19</v>
      </c>
    </row>
    <row r="257" customFormat="false" ht="26.85" hidden="false" customHeight="false" outlineLevel="0" collapsed="false">
      <c r="A257" s="3" t="s">
        <v>210</v>
      </c>
      <c r="B257" s="3" t="s">
        <v>228</v>
      </c>
      <c r="C257" s="4" t="s">
        <v>231</v>
      </c>
      <c r="D257" s="8" t="s">
        <v>48</v>
      </c>
      <c r="E257" s="6" t="s">
        <v>49</v>
      </c>
      <c r="F257" s="4" t="s">
        <v>232</v>
      </c>
    </row>
    <row r="258" customFormat="false" ht="26.85" hidden="false" customHeight="false" outlineLevel="0" collapsed="false">
      <c r="A258" s="3" t="s">
        <v>210</v>
      </c>
      <c r="B258" s="3" t="s">
        <v>228</v>
      </c>
      <c r="C258" s="4" t="s">
        <v>233</v>
      </c>
      <c r="D258" s="8" t="s">
        <v>48</v>
      </c>
      <c r="E258" s="6" t="s">
        <v>49</v>
      </c>
      <c r="F258" s="4" t="s">
        <v>234</v>
      </c>
    </row>
    <row r="259" customFormat="false" ht="26.85" hidden="false" customHeight="false" outlineLevel="0" collapsed="false">
      <c r="A259" s="3" t="s">
        <v>210</v>
      </c>
      <c r="B259" s="3" t="s">
        <v>228</v>
      </c>
      <c r="C259" s="4" t="s">
        <v>235</v>
      </c>
      <c r="D259" s="7" t="s">
        <v>17</v>
      </c>
      <c r="E259" s="6" t="s">
        <v>18</v>
      </c>
      <c r="F259" s="4" t="s">
        <v>19</v>
      </c>
    </row>
    <row r="260" customFormat="false" ht="26.85" hidden="false" customHeight="false" outlineLevel="0" collapsed="false">
      <c r="A260" s="3" t="s">
        <v>7</v>
      </c>
      <c r="B260" s="3" t="s">
        <v>236</v>
      </c>
      <c r="C260" s="4" t="s">
        <v>237</v>
      </c>
      <c r="D260" s="7" t="s">
        <v>17</v>
      </c>
      <c r="E260" s="6" t="s">
        <v>18</v>
      </c>
      <c r="F260" s="4" t="s">
        <v>19</v>
      </c>
    </row>
    <row r="261" customFormat="false" ht="26.85" hidden="false" customHeight="false" outlineLevel="0" collapsed="false">
      <c r="A261" s="3" t="s">
        <v>7</v>
      </c>
      <c r="B261" s="3" t="s">
        <v>236</v>
      </c>
      <c r="C261" s="4" t="s">
        <v>238</v>
      </c>
      <c r="D261" s="7" t="s">
        <v>17</v>
      </c>
      <c r="E261" s="6" t="s">
        <v>18</v>
      </c>
      <c r="F261" s="4" t="s">
        <v>19</v>
      </c>
    </row>
    <row r="262" customFormat="false" ht="26.85" hidden="false" customHeight="false" outlineLevel="0" collapsed="false">
      <c r="A262" s="3" t="s">
        <v>7</v>
      </c>
      <c r="B262" s="3" t="s">
        <v>236</v>
      </c>
      <c r="C262" s="4" t="s">
        <v>239</v>
      </c>
      <c r="D262" s="5" t="s">
        <v>10</v>
      </c>
      <c r="E262" s="6" t="s">
        <v>11</v>
      </c>
      <c r="F262" s="4" t="s">
        <v>37</v>
      </c>
    </row>
    <row r="263" customFormat="false" ht="26.85" hidden="false" customHeight="false" outlineLevel="0" collapsed="false">
      <c r="A263" s="3" t="s">
        <v>7</v>
      </c>
      <c r="B263" s="3" t="s">
        <v>236</v>
      </c>
      <c r="C263" s="4" t="s">
        <v>240</v>
      </c>
      <c r="D263" s="7" t="s">
        <v>17</v>
      </c>
      <c r="E263" s="6" t="s">
        <v>18</v>
      </c>
      <c r="F263" s="4" t="s">
        <v>19</v>
      </c>
    </row>
    <row r="264" customFormat="false" ht="26.85" hidden="false" customHeight="false" outlineLevel="0" collapsed="false">
      <c r="A264" s="3" t="s">
        <v>7</v>
      </c>
      <c r="B264" s="3" t="s">
        <v>236</v>
      </c>
      <c r="C264" s="4" t="s">
        <v>241</v>
      </c>
      <c r="D264" s="5" t="s">
        <v>10</v>
      </c>
      <c r="E264" s="6" t="s">
        <v>11</v>
      </c>
      <c r="F264" s="4" t="s">
        <v>85</v>
      </c>
    </row>
    <row r="265" customFormat="false" ht="26.85" hidden="false" customHeight="false" outlineLevel="0" collapsed="false">
      <c r="A265" s="3" t="s">
        <v>7</v>
      </c>
      <c r="B265" s="3" t="s">
        <v>236</v>
      </c>
      <c r="C265" s="4" t="s">
        <v>242</v>
      </c>
      <c r="D265" s="7" t="s">
        <v>17</v>
      </c>
      <c r="E265" s="6" t="s">
        <v>18</v>
      </c>
      <c r="F265" s="4" t="s">
        <v>19</v>
      </c>
    </row>
    <row r="266" customFormat="false" ht="39.55" hidden="false" customHeight="false" outlineLevel="0" collapsed="false">
      <c r="A266" s="3" t="s">
        <v>7</v>
      </c>
      <c r="B266" s="3" t="s">
        <v>236</v>
      </c>
      <c r="C266" s="4" t="s">
        <v>243</v>
      </c>
      <c r="D266" s="7" t="s">
        <v>17</v>
      </c>
      <c r="E266" s="6" t="s">
        <v>18</v>
      </c>
      <c r="F266" s="4" t="s">
        <v>19</v>
      </c>
    </row>
    <row r="267" customFormat="false" ht="26.85" hidden="false" customHeight="false" outlineLevel="0" collapsed="false">
      <c r="A267" s="3" t="s">
        <v>210</v>
      </c>
      <c r="B267" s="3" t="s">
        <v>21</v>
      </c>
      <c r="C267" s="4" t="s">
        <v>22</v>
      </c>
      <c r="D267" s="5" t="s">
        <v>10</v>
      </c>
      <c r="E267" s="6" t="s">
        <v>11</v>
      </c>
      <c r="F267" s="4" t="s">
        <v>23</v>
      </c>
    </row>
    <row r="268" customFormat="false" ht="26.85" hidden="false" customHeight="false" outlineLevel="0" collapsed="false">
      <c r="A268" s="3" t="s">
        <v>210</v>
      </c>
      <c r="B268" s="3" t="s">
        <v>21</v>
      </c>
      <c r="C268" s="4" t="s">
        <v>24</v>
      </c>
      <c r="D268" s="5" t="s">
        <v>10</v>
      </c>
      <c r="E268" s="6" t="s">
        <v>11</v>
      </c>
      <c r="F268" s="4" t="s">
        <v>25</v>
      </c>
    </row>
    <row r="269" customFormat="false" ht="26.85" hidden="false" customHeight="false" outlineLevel="0" collapsed="false">
      <c r="A269" s="3" t="s">
        <v>210</v>
      </c>
      <c r="B269" s="3" t="s">
        <v>21</v>
      </c>
      <c r="C269" s="4" t="s">
        <v>26</v>
      </c>
      <c r="D269" s="5" t="s">
        <v>10</v>
      </c>
      <c r="E269" s="6" t="s">
        <v>11</v>
      </c>
      <c r="F269" s="4" t="s">
        <v>23</v>
      </c>
    </row>
    <row r="270" customFormat="false" ht="26.85" hidden="false" customHeight="false" outlineLevel="0" collapsed="false">
      <c r="A270" s="3" t="s">
        <v>210</v>
      </c>
      <c r="B270" s="3" t="s">
        <v>21</v>
      </c>
      <c r="C270" s="4" t="s">
        <v>27</v>
      </c>
      <c r="D270" s="5" t="s">
        <v>10</v>
      </c>
      <c r="E270" s="6" t="s">
        <v>11</v>
      </c>
      <c r="F270" s="4" t="s">
        <v>25</v>
      </c>
    </row>
    <row r="271" customFormat="false" ht="26.85" hidden="false" customHeight="false" outlineLevel="0" collapsed="false">
      <c r="A271" s="3" t="s">
        <v>210</v>
      </c>
      <c r="B271" s="3" t="s">
        <v>21</v>
      </c>
      <c r="C271" s="4" t="s">
        <v>28</v>
      </c>
      <c r="D271" s="7" t="s">
        <v>17</v>
      </c>
      <c r="E271" s="6" t="s">
        <v>18</v>
      </c>
      <c r="F271" s="4" t="s">
        <v>19</v>
      </c>
    </row>
    <row r="272" customFormat="false" ht="26.85" hidden="false" customHeight="false" outlineLevel="0" collapsed="false">
      <c r="A272" s="3" t="s">
        <v>210</v>
      </c>
      <c r="B272" s="3" t="s">
        <v>244</v>
      </c>
      <c r="C272" s="4" t="s">
        <v>245</v>
      </c>
      <c r="D272" s="8" t="s">
        <v>48</v>
      </c>
      <c r="E272" s="6" t="s">
        <v>49</v>
      </c>
      <c r="F272" s="4" t="s">
        <v>217</v>
      </c>
    </row>
    <row r="273" customFormat="false" ht="26.85" hidden="false" customHeight="false" outlineLevel="0" collapsed="false">
      <c r="A273" s="3" t="s">
        <v>210</v>
      </c>
      <c r="B273" s="3" t="s">
        <v>244</v>
      </c>
      <c r="C273" s="4" t="s">
        <v>246</v>
      </c>
      <c r="D273" s="8" t="s">
        <v>48</v>
      </c>
      <c r="E273" s="6" t="s">
        <v>49</v>
      </c>
      <c r="F273" s="4" t="s">
        <v>247</v>
      </c>
    </row>
    <row r="274" customFormat="false" ht="26.85" hidden="false" customHeight="false" outlineLevel="0" collapsed="false">
      <c r="A274" s="3" t="s">
        <v>210</v>
      </c>
      <c r="B274" s="3" t="s">
        <v>244</v>
      </c>
      <c r="C274" s="4" t="s">
        <v>248</v>
      </c>
      <c r="D274" s="7" t="s">
        <v>17</v>
      </c>
      <c r="E274" s="6" t="s">
        <v>18</v>
      </c>
      <c r="F274" s="4" t="s">
        <v>19</v>
      </c>
    </row>
    <row r="275" customFormat="false" ht="26.85" hidden="false" customHeight="false" outlineLevel="0" collapsed="false">
      <c r="A275" s="3" t="s">
        <v>210</v>
      </c>
      <c r="B275" s="3" t="s">
        <v>244</v>
      </c>
      <c r="C275" s="4" t="s">
        <v>249</v>
      </c>
      <c r="D275" s="7" t="s">
        <v>17</v>
      </c>
      <c r="E275" s="6" t="s">
        <v>18</v>
      </c>
      <c r="F275" s="4" t="s">
        <v>19</v>
      </c>
    </row>
    <row r="276" customFormat="false" ht="26.85" hidden="false" customHeight="false" outlineLevel="0" collapsed="false">
      <c r="A276" s="3" t="s">
        <v>210</v>
      </c>
      <c r="B276" s="3" t="s">
        <v>244</v>
      </c>
      <c r="C276" s="4" t="s">
        <v>250</v>
      </c>
      <c r="D276" s="7" t="s">
        <v>17</v>
      </c>
      <c r="E276" s="6" t="s">
        <v>18</v>
      </c>
      <c r="F276" s="4" t="s">
        <v>19</v>
      </c>
    </row>
    <row r="277" customFormat="false" ht="26.85" hidden="false" customHeight="false" outlineLevel="0" collapsed="false">
      <c r="A277" s="3" t="s">
        <v>210</v>
      </c>
      <c r="B277" s="3" t="s">
        <v>244</v>
      </c>
      <c r="C277" s="4" t="s">
        <v>251</v>
      </c>
      <c r="D277" s="7" t="s">
        <v>17</v>
      </c>
      <c r="E277" s="6" t="s">
        <v>18</v>
      </c>
      <c r="F277" s="4" t="s">
        <v>19</v>
      </c>
    </row>
    <row r="278" customFormat="false" ht="26.85" hidden="false" customHeight="false" outlineLevel="0" collapsed="false">
      <c r="A278" s="3" t="s">
        <v>210</v>
      </c>
      <c r="B278" s="3" t="s">
        <v>244</v>
      </c>
      <c r="C278" s="4" t="s">
        <v>252</v>
      </c>
      <c r="D278" s="7" t="s">
        <v>17</v>
      </c>
      <c r="E278" s="6" t="s">
        <v>18</v>
      </c>
      <c r="F278" s="4" t="s">
        <v>19</v>
      </c>
    </row>
    <row r="279" customFormat="false" ht="39.55" hidden="false" customHeight="false" outlineLevel="0" collapsed="false">
      <c r="A279" s="3" t="s">
        <v>210</v>
      </c>
      <c r="B279" s="3" t="s">
        <v>244</v>
      </c>
      <c r="C279" s="4" t="s">
        <v>226</v>
      </c>
      <c r="D279" s="5" t="s">
        <v>10</v>
      </c>
      <c r="E279" s="6" t="s">
        <v>11</v>
      </c>
      <c r="F279" s="4" t="s">
        <v>227</v>
      </c>
    </row>
    <row r="280" customFormat="false" ht="26.85" hidden="false" customHeight="false" outlineLevel="0" collapsed="false">
      <c r="A280" s="3" t="s">
        <v>210</v>
      </c>
      <c r="B280" s="3" t="s">
        <v>244</v>
      </c>
      <c r="C280" s="4" t="s">
        <v>253</v>
      </c>
      <c r="D280" s="7" t="s">
        <v>17</v>
      </c>
      <c r="E280" s="6" t="s">
        <v>18</v>
      </c>
      <c r="F280" s="4" t="s">
        <v>19</v>
      </c>
    </row>
    <row r="281" customFormat="false" ht="26.85" hidden="false" customHeight="false" outlineLevel="0" collapsed="false">
      <c r="A281" s="3" t="s">
        <v>210</v>
      </c>
      <c r="B281" s="3" t="s">
        <v>244</v>
      </c>
      <c r="C281" s="4" t="s">
        <v>254</v>
      </c>
      <c r="D281" s="7" t="s">
        <v>17</v>
      </c>
      <c r="E281" s="6" t="s">
        <v>18</v>
      </c>
      <c r="F281" s="4" t="s">
        <v>19</v>
      </c>
    </row>
    <row r="282" customFormat="false" ht="26.85" hidden="false" customHeight="false" outlineLevel="0" collapsed="false">
      <c r="A282" s="3" t="s">
        <v>210</v>
      </c>
      <c r="B282" s="3" t="s">
        <v>244</v>
      </c>
      <c r="C282" s="4" t="s">
        <v>255</v>
      </c>
      <c r="D282" s="8" t="s">
        <v>48</v>
      </c>
      <c r="E282" s="6" t="s">
        <v>49</v>
      </c>
      <c r="F282" s="4" t="s">
        <v>232</v>
      </c>
    </row>
    <row r="283" customFormat="false" ht="26.85" hidden="false" customHeight="false" outlineLevel="0" collapsed="false">
      <c r="A283" s="3" t="s">
        <v>210</v>
      </c>
      <c r="B283" s="3" t="s">
        <v>244</v>
      </c>
      <c r="C283" s="4" t="s">
        <v>256</v>
      </c>
      <c r="D283" s="7" t="s">
        <v>17</v>
      </c>
      <c r="E283" s="6" t="s">
        <v>18</v>
      </c>
      <c r="F283" s="4" t="s">
        <v>19</v>
      </c>
    </row>
    <row r="284" customFormat="false" ht="26.85" hidden="false" customHeight="false" outlineLevel="0" collapsed="false">
      <c r="A284" s="3" t="s">
        <v>210</v>
      </c>
      <c r="B284" s="3" t="s">
        <v>244</v>
      </c>
      <c r="C284" s="4" t="s">
        <v>257</v>
      </c>
      <c r="D284" s="7" t="s">
        <v>17</v>
      </c>
      <c r="E284" s="6" t="s">
        <v>18</v>
      </c>
      <c r="F284" s="4" t="s">
        <v>19</v>
      </c>
    </row>
    <row r="285" customFormat="false" ht="26.85" hidden="false" customHeight="false" outlineLevel="0" collapsed="false">
      <c r="A285" s="3" t="s">
        <v>210</v>
      </c>
      <c r="B285" s="3" t="s">
        <v>244</v>
      </c>
      <c r="C285" s="4" t="s">
        <v>258</v>
      </c>
      <c r="D285" s="5" t="s">
        <v>10</v>
      </c>
      <c r="E285" s="6" t="s">
        <v>11</v>
      </c>
      <c r="F285" s="4" t="s">
        <v>25</v>
      </c>
    </row>
    <row r="286" customFormat="false" ht="26.85" hidden="false" customHeight="false" outlineLevel="0" collapsed="false">
      <c r="A286" s="3" t="s">
        <v>210</v>
      </c>
      <c r="B286" s="3" t="s">
        <v>244</v>
      </c>
      <c r="C286" s="4" t="s">
        <v>259</v>
      </c>
      <c r="D286" s="5" t="s">
        <v>10</v>
      </c>
      <c r="E286" s="6" t="s">
        <v>11</v>
      </c>
      <c r="F286" s="4" t="s">
        <v>81</v>
      </c>
    </row>
    <row r="287" customFormat="false" ht="26.85" hidden="false" customHeight="false" outlineLevel="0" collapsed="false">
      <c r="A287" s="3" t="s">
        <v>210</v>
      </c>
      <c r="B287" s="3" t="s">
        <v>244</v>
      </c>
      <c r="C287" s="4" t="s">
        <v>260</v>
      </c>
      <c r="D287" s="8" t="s">
        <v>48</v>
      </c>
      <c r="E287" s="6" t="s">
        <v>49</v>
      </c>
      <c r="F287" s="4" t="s">
        <v>232</v>
      </c>
    </row>
    <row r="288" customFormat="false" ht="26.85" hidden="false" customHeight="false" outlineLevel="0" collapsed="false">
      <c r="A288" s="3" t="s">
        <v>68</v>
      </c>
      <c r="B288" s="3" t="s">
        <v>261</v>
      </c>
      <c r="C288" s="4" t="s">
        <v>262</v>
      </c>
      <c r="D288" s="8" t="s">
        <v>48</v>
      </c>
      <c r="E288" s="6" t="s">
        <v>49</v>
      </c>
      <c r="F288" s="4" t="s">
        <v>217</v>
      </c>
    </row>
    <row r="289" customFormat="false" ht="26.85" hidden="false" customHeight="false" outlineLevel="0" collapsed="false">
      <c r="A289" s="3" t="s">
        <v>68</v>
      </c>
      <c r="B289" s="3" t="s">
        <v>261</v>
      </c>
      <c r="C289" s="4" t="s">
        <v>263</v>
      </c>
      <c r="D289" s="8" t="s">
        <v>48</v>
      </c>
      <c r="E289" s="6" t="s">
        <v>49</v>
      </c>
      <c r="F289" s="4" t="s">
        <v>234</v>
      </c>
    </row>
    <row r="290" customFormat="false" ht="26.85" hidden="false" customHeight="false" outlineLevel="0" collapsed="false">
      <c r="A290" s="3" t="s">
        <v>68</v>
      </c>
      <c r="B290" s="3" t="s">
        <v>261</v>
      </c>
      <c r="C290" s="4" t="s">
        <v>264</v>
      </c>
      <c r="D290" s="7" t="s">
        <v>17</v>
      </c>
      <c r="E290" s="6" t="s">
        <v>18</v>
      </c>
      <c r="F290" s="4" t="s">
        <v>19</v>
      </c>
    </row>
    <row r="291" customFormat="false" ht="26.85" hidden="false" customHeight="false" outlineLevel="0" collapsed="false">
      <c r="A291" s="3" t="s">
        <v>68</v>
      </c>
      <c r="B291" s="3" t="s">
        <v>261</v>
      </c>
      <c r="C291" s="4" t="s">
        <v>265</v>
      </c>
      <c r="D291" s="7" t="s">
        <v>17</v>
      </c>
      <c r="E291" s="6" t="s">
        <v>18</v>
      </c>
      <c r="F291" s="4" t="s">
        <v>19</v>
      </c>
    </row>
    <row r="292" customFormat="false" ht="26.85" hidden="false" customHeight="false" outlineLevel="0" collapsed="false">
      <c r="A292" s="3" t="s">
        <v>68</v>
      </c>
      <c r="B292" s="3" t="s">
        <v>261</v>
      </c>
      <c r="C292" s="4" t="s">
        <v>266</v>
      </c>
      <c r="D292" s="7" t="s">
        <v>17</v>
      </c>
      <c r="E292" s="6" t="s">
        <v>18</v>
      </c>
      <c r="F292" s="4" t="s">
        <v>19</v>
      </c>
    </row>
    <row r="293" customFormat="false" ht="26.85" hidden="false" customHeight="false" outlineLevel="0" collapsed="false">
      <c r="A293" s="3" t="s">
        <v>68</v>
      </c>
      <c r="B293" s="3" t="s">
        <v>261</v>
      </c>
      <c r="C293" s="4" t="s">
        <v>267</v>
      </c>
      <c r="D293" s="5" t="s">
        <v>10</v>
      </c>
      <c r="E293" s="6" t="s">
        <v>11</v>
      </c>
      <c r="F293" s="4" t="s">
        <v>213</v>
      </c>
    </row>
    <row r="294" customFormat="false" ht="26.85" hidden="false" customHeight="false" outlineLevel="0" collapsed="false">
      <c r="A294" s="3" t="s">
        <v>68</v>
      </c>
      <c r="B294" s="3" t="s">
        <v>261</v>
      </c>
      <c r="C294" s="4" t="s">
        <v>214</v>
      </c>
      <c r="D294" s="7" t="s">
        <v>17</v>
      </c>
      <c r="E294" s="6" t="s">
        <v>18</v>
      </c>
      <c r="F294" s="4" t="s">
        <v>19</v>
      </c>
    </row>
    <row r="295" customFormat="false" ht="26.85" hidden="false" customHeight="false" outlineLevel="0" collapsed="false">
      <c r="A295" s="3" t="s">
        <v>78</v>
      </c>
      <c r="B295" s="3" t="s">
        <v>268</v>
      </c>
      <c r="C295" s="4" t="s">
        <v>269</v>
      </c>
      <c r="D295" s="7" t="s">
        <v>17</v>
      </c>
      <c r="E295" s="6" t="s">
        <v>18</v>
      </c>
      <c r="F295" s="4" t="s">
        <v>19</v>
      </c>
    </row>
    <row r="296" customFormat="false" ht="26.85" hidden="false" customHeight="false" outlineLevel="0" collapsed="false">
      <c r="A296" s="3" t="s">
        <v>78</v>
      </c>
      <c r="B296" s="3" t="s">
        <v>268</v>
      </c>
      <c r="C296" s="4" t="s">
        <v>270</v>
      </c>
      <c r="D296" s="7" t="s">
        <v>17</v>
      </c>
      <c r="E296" s="6" t="s">
        <v>18</v>
      </c>
      <c r="F296" s="4" t="s">
        <v>19</v>
      </c>
    </row>
    <row r="297" customFormat="false" ht="26.85" hidden="false" customHeight="false" outlineLevel="0" collapsed="false">
      <c r="A297" s="3" t="s">
        <v>78</v>
      </c>
      <c r="B297" s="3" t="s">
        <v>268</v>
      </c>
      <c r="C297" s="4" t="s">
        <v>271</v>
      </c>
      <c r="D297" s="7" t="s">
        <v>17</v>
      </c>
      <c r="E297" s="6" t="s">
        <v>18</v>
      </c>
      <c r="F297" s="4" t="s">
        <v>19</v>
      </c>
    </row>
    <row r="298" customFormat="false" ht="26.85" hidden="false" customHeight="false" outlineLevel="0" collapsed="false">
      <c r="A298" s="3" t="s">
        <v>261</v>
      </c>
      <c r="B298" s="3" t="s">
        <v>42</v>
      </c>
      <c r="C298" s="4" t="s">
        <v>43</v>
      </c>
      <c r="D298" s="7" t="s">
        <v>17</v>
      </c>
      <c r="E298" s="6" t="s">
        <v>18</v>
      </c>
      <c r="F298" s="4" t="s">
        <v>19</v>
      </c>
    </row>
    <row r="299" customFormat="false" ht="26.85" hidden="false" customHeight="false" outlineLevel="0" collapsed="false">
      <c r="A299" s="3" t="s">
        <v>261</v>
      </c>
      <c r="B299" s="3" t="s">
        <v>42</v>
      </c>
      <c r="C299" s="4" t="s">
        <v>44</v>
      </c>
      <c r="D299" s="7" t="s">
        <v>17</v>
      </c>
      <c r="E299" s="6" t="s">
        <v>18</v>
      </c>
      <c r="F299" s="4" t="s">
        <v>19</v>
      </c>
    </row>
    <row r="300" customFormat="false" ht="26.85" hidden="false" customHeight="false" outlineLevel="0" collapsed="false">
      <c r="A300" s="3" t="s">
        <v>261</v>
      </c>
      <c r="B300" s="3" t="s">
        <v>42</v>
      </c>
      <c r="C300" s="4" t="s">
        <v>45</v>
      </c>
      <c r="D300" s="5" t="s">
        <v>10</v>
      </c>
      <c r="E300" s="6" t="s">
        <v>11</v>
      </c>
      <c r="F300" s="4" t="s">
        <v>15</v>
      </c>
    </row>
    <row r="301" customFormat="false" ht="26.85" hidden="false" customHeight="false" outlineLevel="0" collapsed="false">
      <c r="A301" s="3" t="s">
        <v>261</v>
      </c>
      <c r="B301" s="3" t="s">
        <v>272</v>
      </c>
      <c r="C301" s="4" t="s">
        <v>273</v>
      </c>
      <c r="D301" s="5" t="s">
        <v>10</v>
      </c>
      <c r="E301" s="6" t="s">
        <v>11</v>
      </c>
      <c r="F301" s="4" t="s">
        <v>85</v>
      </c>
    </row>
    <row r="302" customFormat="false" ht="26.85" hidden="false" customHeight="false" outlineLevel="0" collapsed="false">
      <c r="A302" s="3" t="s">
        <v>261</v>
      </c>
      <c r="B302" s="3" t="s">
        <v>272</v>
      </c>
      <c r="C302" s="4" t="s">
        <v>274</v>
      </c>
      <c r="D302" s="7" t="s">
        <v>17</v>
      </c>
      <c r="E302" s="6" t="s">
        <v>18</v>
      </c>
      <c r="F302" s="4" t="s">
        <v>19</v>
      </c>
    </row>
    <row r="303" customFormat="false" ht="26.85" hidden="false" customHeight="false" outlineLevel="0" collapsed="false">
      <c r="A303" s="3" t="s">
        <v>261</v>
      </c>
      <c r="B303" s="3" t="s">
        <v>272</v>
      </c>
      <c r="C303" s="4" t="s">
        <v>275</v>
      </c>
      <c r="D303" s="7" t="s">
        <v>17</v>
      </c>
      <c r="E303" s="6" t="s">
        <v>18</v>
      </c>
      <c r="F303" s="4" t="s">
        <v>19</v>
      </c>
    </row>
    <row r="304" customFormat="false" ht="26.85" hidden="false" customHeight="false" outlineLevel="0" collapsed="false">
      <c r="A304" s="3" t="s">
        <v>261</v>
      </c>
      <c r="B304" s="3" t="s">
        <v>8</v>
      </c>
      <c r="C304" s="4" t="s">
        <v>9</v>
      </c>
      <c r="D304" s="5" t="s">
        <v>10</v>
      </c>
      <c r="E304" s="6" t="s">
        <v>11</v>
      </c>
      <c r="F304" s="4" t="s">
        <v>12</v>
      </c>
    </row>
    <row r="305" customFormat="false" ht="26.85" hidden="false" customHeight="false" outlineLevel="0" collapsed="false">
      <c r="A305" s="3" t="s">
        <v>261</v>
      </c>
      <c r="B305" s="3" t="s">
        <v>8</v>
      </c>
      <c r="C305" s="4" t="s">
        <v>13</v>
      </c>
      <c r="D305" s="5" t="s">
        <v>10</v>
      </c>
      <c r="E305" s="6" t="s">
        <v>11</v>
      </c>
      <c r="F305" s="4" t="s">
        <v>12</v>
      </c>
    </row>
    <row r="306" customFormat="false" ht="26.85" hidden="false" customHeight="false" outlineLevel="0" collapsed="false">
      <c r="A306" s="3" t="s">
        <v>261</v>
      </c>
      <c r="B306" s="3" t="s">
        <v>8</v>
      </c>
      <c r="C306" s="4" t="s">
        <v>14</v>
      </c>
      <c r="D306" s="5" t="s">
        <v>10</v>
      </c>
      <c r="E306" s="6" t="s">
        <v>11</v>
      </c>
      <c r="F306" s="4" t="s">
        <v>15</v>
      </c>
    </row>
    <row r="307" customFormat="false" ht="39.55" hidden="false" customHeight="false" outlineLevel="0" collapsed="false">
      <c r="A307" s="3" t="s">
        <v>261</v>
      </c>
      <c r="B307" s="3" t="s">
        <v>8</v>
      </c>
      <c r="C307" s="4" t="s">
        <v>16</v>
      </c>
      <c r="D307" s="7" t="s">
        <v>17</v>
      </c>
      <c r="E307" s="6" t="s">
        <v>18</v>
      </c>
      <c r="F307" s="4" t="s">
        <v>19</v>
      </c>
    </row>
    <row r="308" customFormat="false" ht="52.2" hidden="false" customHeight="false" outlineLevel="0" collapsed="false">
      <c r="A308" s="3" t="s">
        <v>78</v>
      </c>
      <c r="B308" s="3" t="s">
        <v>276</v>
      </c>
      <c r="C308" s="4" t="s">
        <v>277</v>
      </c>
      <c r="D308" s="7" t="s">
        <v>17</v>
      </c>
      <c r="E308" s="6" t="s">
        <v>18</v>
      </c>
      <c r="F308" s="4" t="s">
        <v>19</v>
      </c>
    </row>
    <row r="309" customFormat="false" ht="26.85" hidden="false" customHeight="false" outlineLevel="0" collapsed="false">
      <c r="A309" s="3" t="s">
        <v>78</v>
      </c>
      <c r="B309" s="3" t="s">
        <v>276</v>
      </c>
      <c r="C309" s="4" t="s">
        <v>278</v>
      </c>
      <c r="D309" s="7" t="s">
        <v>17</v>
      </c>
      <c r="E309" s="6" t="s">
        <v>18</v>
      </c>
      <c r="F309" s="4" t="s">
        <v>19</v>
      </c>
    </row>
    <row r="310" customFormat="false" ht="26.85" hidden="false" customHeight="false" outlineLevel="0" collapsed="false">
      <c r="A310" s="3" t="s">
        <v>78</v>
      </c>
      <c r="B310" s="3" t="s">
        <v>276</v>
      </c>
      <c r="C310" s="4" t="s">
        <v>279</v>
      </c>
      <c r="D310" s="7" t="s">
        <v>17</v>
      </c>
      <c r="E310" s="6" t="s">
        <v>18</v>
      </c>
      <c r="F310" s="4" t="s">
        <v>19</v>
      </c>
    </row>
    <row r="311" customFormat="false" ht="26.85" hidden="false" customHeight="false" outlineLevel="0" collapsed="false">
      <c r="A311" s="3" t="s">
        <v>78</v>
      </c>
      <c r="B311" s="3" t="s">
        <v>276</v>
      </c>
      <c r="C311" s="4" t="s">
        <v>280</v>
      </c>
      <c r="D311" s="7" t="s">
        <v>17</v>
      </c>
      <c r="E311" s="6" t="s">
        <v>18</v>
      </c>
      <c r="F311" s="4" t="s">
        <v>19</v>
      </c>
    </row>
    <row r="312" customFormat="false" ht="26.85" hidden="false" customHeight="false" outlineLevel="0" collapsed="false">
      <c r="A312" s="3" t="s">
        <v>78</v>
      </c>
      <c r="B312" s="3" t="s">
        <v>276</v>
      </c>
      <c r="C312" s="4" t="s">
        <v>281</v>
      </c>
      <c r="D312" s="7" t="s">
        <v>17</v>
      </c>
      <c r="E312" s="6" t="s">
        <v>18</v>
      </c>
      <c r="F312" s="4" t="s">
        <v>19</v>
      </c>
    </row>
    <row r="313" customFormat="false" ht="26.85" hidden="false" customHeight="false" outlineLevel="0" collapsed="false">
      <c r="A313" s="3" t="s">
        <v>78</v>
      </c>
      <c r="B313" s="3" t="s">
        <v>276</v>
      </c>
      <c r="C313" s="4" t="s">
        <v>282</v>
      </c>
      <c r="D313" s="7" t="s">
        <v>17</v>
      </c>
      <c r="E313" s="6" t="s">
        <v>18</v>
      </c>
      <c r="F313" s="4" t="s">
        <v>19</v>
      </c>
    </row>
    <row r="314" customFormat="false" ht="26.85" hidden="false" customHeight="false" outlineLevel="0" collapsed="false">
      <c r="A314" s="3" t="s">
        <v>78</v>
      </c>
      <c r="B314" s="3" t="s">
        <v>276</v>
      </c>
      <c r="C314" s="4" t="s">
        <v>283</v>
      </c>
      <c r="D314" s="7" t="s">
        <v>17</v>
      </c>
      <c r="E314" s="6" t="s">
        <v>18</v>
      </c>
      <c r="F314" s="4" t="s">
        <v>19</v>
      </c>
    </row>
    <row r="315" customFormat="false" ht="52.2" hidden="false" customHeight="false" outlineLevel="0" collapsed="false">
      <c r="A315" s="3" t="s">
        <v>78</v>
      </c>
      <c r="B315" s="3" t="s">
        <v>276</v>
      </c>
      <c r="C315" s="4" t="s">
        <v>284</v>
      </c>
      <c r="D315" s="7" t="s">
        <v>17</v>
      </c>
      <c r="E315" s="6" t="s">
        <v>18</v>
      </c>
      <c r="F315" s="4" t="s">
        <v>19</v>
      </c>
    </row>
    <row r="316" customFormat="false" ht="26.85" hidden="false" customHeight="false" outlineLevel="0" collapsed="false">
      <c r="A316" s="3" t="s">
        <v>78</v>
      </c>
      <c r="B316" s="3" t="s">
        <v>276</v>
      </c>
      <c r="C316" s="4" t="s">
        <v>285</v>
      </c>
      <c r="D316" s="7" t="s">
        <v>17</v>
      </c>
      <c r="E316" s="6" t="s">
        <v>18</v>
      </c>
      <c r="F316" s="4" t="s">
        <v>19</v>
      </c>
    </row>
    <row r="317" customFormat="false" ht="26.85" hidden="false" customHeight="false" outlineLevel="0" collapsed="false">
      <c r="A317" s="3" t="s">
        <v>78</v>
      </c>
      <c r="B317" s="3" t="s">
        <v>276</v>
      </c>
      <c r="C317" s="4" t="s">
        <v>286</v>
      </c>
      <c r="D317" s="7" t="s">
        <v>17</v>
      </c>
      <c r="E317" s="6" t="s">
        <v>18</v>
      </c>
      <c r="F317" s="4" t="s">
        <v>19</v>
      </c>
    </row>
    <row r="318" customFormat="false" ht="77.6" hidden="false" customHeight="false" outlineLevel="0" collapsed="false">
      <c r="A318" s="3" t="s">
        <v>78</v>
      </c>
      <c r="B318" s="3" t="s">
        <v>276</v>
      </c>
      <c r="C318" s="4" t="s">
        <v>287</v>
      </c>
      <c r="D318" s="7" t="s">
        <v>17</v>
      </c>
      <c r="E318" s="6" t="s">
        <v>18</v>
      </c>
      <c r="F318" s="4" t="s">
        <v>19</v>
      </c>
    </row>
    <row r="319" customFormat="false" ht="26.85" hidden="false" customHeight="false" outlineLevel="0" collapsed="false">
      <c r="A319" s="3" t="s">
        <v>78</v>
      </c>
      <c r="B319" s="3" t="s">
        <v>276</v>
      </c>
      <c r="C319" s="4" t="s">
        <v>288</v>
      </c>
      <c r="D319" s="5" t="s">
        <v>10</v>
      </c>
      <c r="E319" s="6" t="s">
        <v>11</v>
      </c>
      <c r="F319" s="4" t="s">
        <v>25</v>
      </c>
    </row>
    <row r="320" customFormat="false" ht="39.55" hidden="false" customHeight="false" outlineLevel="0" collapsed="false">
      <c r="A320" s="3" t="s">
        <v>78</v>
      </c>
      <c r="B320" s="3" t="s">
        <v>276</v>
      </c>
      <c r="C320" s="4" t="s">
        <v>289</v>
      </c>
      <c r="D320" s="7" t="s">
        <v>17</v>
      </c>
      <c r="E320" s="6" t="s">
        <v>18</v>
      </c>
      <c r="F320" s="4" t="s">
        <v>19</v>
      </c>
    </row>
    <row r="321" customFormat="false" ht="39.55" hidden="false" customHeight="false" outlineLevel="0" collapsed="false">
      <c r="A321" s="3" t="s">
        <v>78</v>
      </c>
      <c r="B321" s="3" t="s">
        <v>276</v>
      </c>
      <c r="C321" s="4" t="s">
        <v>243</v>
      </c>
      <c r="D321" s="7" t="s">
        <v>17</v>
      </c>
      <c r="E321" s="6" t="s">
        <v>18</v>
      </c>
      <c r="F321" s="4" t="s">
        <v>19</v>
      </c>
    </row>
    <row r="322" customFormat="false" ht="26.85" hidden="false" customHeight="false" outlineLevel="0" collapsed="false">
      <c r="A322" s="3" t="s">
        <v>78</v>
      </c>
      <c r="B322" s="3" t="s">
        <v>21</v>
      </c>
      <c r="C322" s="4" t="s">
        <v>22</v>
      </c>
      <c r="D322" s="5" t="s">
        <v>10</v>
      </c>
      <c r="E322" s="6" t="s">
        <v>11</v>
      </c>
      <c r="F322" s="4" t="s">
        <v>23</v>
      </c>
    </row>
    <row r="323" customFormat="false" ht="26.85" hidden="false" customHeight="false" outlineLevel="0" collapsed="false">
      <c r="A323" s="3" t="s">
        <v>78</v>
      </c>
      <c r="B323" s="3" t="s">
        <v>21</v>
      </c>
      <c r="C323" s="4" t="s">
        <v>24</v>
      </c>
      <c r="D323" s="5" t="s">
        <v>10</v>
      </c>
      <c r="E323" s="6" t="s">
        <v>11</v>
      </c>
      <c r="F323" s="4" t="s">
        <v>25</v>
      </c>
    </row>
    <row r="324" customFormat="false" ht="26.85" hidden="false" customHeight="false" outlineLevel="0" collapsed="false">
      <c r="A324" s="3" t="s">
        <v>78</v>
      </c>
      <c r="B324" s="3" t="s">
        <v>21</v>
      </c>
      <c r="C324" s="4" t="s">
        <v>26</v>
      </c>
      <c r="D324" s="5" t="s">
        <v>10</v>
      </c>
      <c r="E324" s="6" t="s">
        <v>11</v>
      </c>
      <c r="F324" s="4" t="s">
        <v>23</v>
      </c>
    </row>
    <row r="325" customFormat="false" ht="26.85" hidden="false" customHeight="false" outlineLevel="0" collapsed="false">
      <c r="A325" s="3" t="s">
        <v>78</v>
      </c>
      <c r="B325" s="3" t="s">
        <v>21</v>
      </c>
      <c r="C325" s="4" t="s">
        <v>27</v>
      </c>
      <c r="D325" s="5" t="s">
        <v>10</v>
      </c>
      <c r="E325" s="6" t="s">
        <v>11</v>
      </c>
      <c r="F325" s="4" t="s">
        <v>25</v>
      </c>
    </row>
    <row r="326" customFormat="false" ht="26.85" hidden="false" customHeight="false" outlineLevel="0" collapsed="false">
      <c r="A326" s="3" t="s">
        <v>78</v>
      </c>
      <c r="B326" s="3" t="s">
        <v>21</v>
      </c>
      <c r="C326" s="4" t="s">
        <v>28</v>
      </c>
      <c r="D326" s="7" t="s">
        <v>17</v>
      </c>
      <c r="E326" s="6" t="s">
        <v>18</v>
      </c>
      <c r="F326" s="4" t="s">
        <v>19</v>
      </c>
    </row>
    <row r="327" customFormat="false" ht="26.85" hidden="false" customHeight="false" outlineLevel="0" collapsed="false">
      <c r="A327" s="3" t="s">
        <v>261</v>
      </c>
      <c r="B327" s="3" t="s">
        <v>290</v>
      </c>
      <c r="C327" s="4" t="s">
        <v>291</v>
      </c>
      <c r="D327" s="7" t="s">
        <v>17</v>
      </c>
      <c r="E327" s="6" t="s">
        <v>18</v>
      </c>
      <c r="F327" s="4" t="s">
        <v>19</v>
      </c>
    </row>
    <row r="328" customFormat="false" ht="26.85" hidden="false" customHeight="false" outlineLevel="0" collapsed="false">
      <c r="A328" s="3" t="s">
        <v>261</v>
      </c>
      <c r="B328" s="3" t="s">
        <v>290</v>
      </c>
      <c r="C328" s="4" t="s">
        <v>292</v>
      </c>
      <c r="D328" s="7" t="s">
        <v>17</v>
      </c>
      <c r="E328" s="6" t="s">
        <v>18</v>
      </c>
      <c r="F328" s="4" t="s">
        <v>19</v>
      </c>
    </row>
    <row r="329" customFormat="false" ht="26.85" hidden="false" customHeight="false" outlineLevel="0" collapsed="false">
      <c r="A329" s="3" t="s">
        <v>261</v>
      </c>
      <c r="B329" s="3" t="s">
        <v>290</v>
      </c>
      <c r="C329" s="4" t="s">
        <v>293</v>
      </c>
      <c r="D329" s="7" t="s">
        <v>17</v>
      </c>
      <c r="E329" s="6" t="s">
        <v>18</v>
      </c>
      <c r="F329" s="4" t="s">
        <v>19</v>
      </c>
    </row>
    <row r="330" customFormat="false" ht="26.85" hidden="false" customHeight="false" outlineLevel="0" collapsed="false">
      <c r="A330" s="3" t="s">
        <v>261</v>
      </c>
      <c r="B330" s="3" t="s">
        <v>290</v>
      </c>
      <c r="C330" s="4" t="s">
        <v>294</v>
      </c>
      <c r="D330" s="7" t="s">
        <v>17</v>
      </c>
      <c r="E330" s="6" t="s">
        <v>18</v>
      </c>
      <c r="F330" s="4" t="s">
        <v>19</v>
      </c>
    </row>
    <row r="331" customFormat="false" ht="39.55" hidden="false" customHeight="false" outlineLevel="0" collapsed="false">
      <c r="A331" s="3" t="s">
        <v>7</v>
      </c>
      <c r="B331" s="3" t="s">
        <v>295</v>
      </c>
      <c r="C331" s="4" t="s">
        <v>296</v>
      </c>
      <c r="D331" s="7" t="s">
        <v>17</v>
      </c>
      <c r="E331" s="6" t="s">
        <v>18</v>
      </c>
      <c r="F331" s="4" t="s">
        <v>19</v>
      </c>
    </row>
    <row r="332" customFormat="false" ht="26.85" hidden="false" customHeight="false" outlineLevel="0" collapsed="false">
      <c r="A332" s="3" t="s">
        <v>7</v>
      </c>
      <c r="B332" s="3" t="s">
        <v>295</v>
      </c>
      <c r="C332" s="4" t="s">
        <v>297</v>
      </c>
      <c r="D332" s="7" t="s">
        <v>17</v>
      </c>
      <c r="E332" s="6" t="s">
        <v>18</v>
      </c>
      <c r="F332" s="4" t="s">
        <v>19</v>
      </c>
    </row>
    <row r="333" customFormat="false" ht="26.85" hidden="false" customHeight="false" outlineLevel="0" collapsed="false">
      <c r="A333" s="3" t="s">
        <v>7</v>
      </c>
      <c r="B333" s="3" t="s">
        <v>295</v>
      </c>
      <c r="C333" s="4" t="s">
        <v>298</v>
      </c>
      <c r="D333" s="8" t="s">
        <v>48</v>
      </c>
      <c r="E333" s="6" t="s">
        <v>49</v>
      </c>
      <c r="F333" s="4" t="s">
        <v>217</v>
      </c>
    </row>
    <row r="334" customFormat="false" ht="26.85" hidden="false" customHeight="false" outlineLevel="0" collapsed="false">
      <c r="A334" s="3" t="s">
        <v>7</v>
      </c>
      <c r="B334" s="3" t="s">
        <v>295</v>
      </c>
      <c r="C334" s="4" t="s">
        <v>299</v>
      </c>
      <c r="D334" s="7" t="s">
        <v>17</v>
      </c>
      <c r="E334" s="6" t="s">
        <v>18</v>
      </c>
      <c r="F334" s="4" t="s">
        <v>19</v>
      </c>
    </row>
    <row r="335" customFormat="false" ht="26.85" hidden="false" customHeight="false" outlineLevel="0" collapsed="false">
      <c r="A335" s="3" t="s">
        <v>7</v>
      </c>
      <c r="B335" s="3" t="s">
        <v>295</v>
      </c>
      <c r="C335" s="4" t="s">
        <v>300</v>
      </c>
      <c r="D335" s="7" t="s">
        <v>17</v>
      </c>
      <c r="E335" s="6" t="s">
        <v>18</v>
      </c>
      <c r="F335" s="4" t="s">
        <v>19</v>
      </c>
    </row>
    <row r="336" customFormat="false" ht="26.85" hidden="false" customHeight="false" outlineLevel="0" collapsed="false">
      <c r="A336" s="3" t="s">
        <v>7</v>
      </c>
      <c r="B336" s="3" t="s">
        <v>295</v>
      </c>
      <c r="C336" s="4" t="s">
        <v>301</v>
      </c>
      <c r="D336" s="8" t="s">
        <v>48</v>
      </c>
      <c r="E336" s="6" t="s">
        <v>49</v>
      </c>
      <c r="F336" s="4" t="s">
        <v>247</v>
      </c>
    </row>
    <row r="337" customFormat="false" ht="52.2" hidden="false" customHeight="false" outlineLevel="0" collapsed="false">
      <c r="A337" s="3" t="s">
        <v>7</v>
      </c>
      <c r="B337" s="3" t="s">
        <v>295</v>
      </c>
      <c r="C337" s="4" t="s">
        <v>302</v>
      </c>
      <c r="D337" s="7" t="s">
        <v>17</v>
      </c>
      <c r="E337" s="6" t="s">
        <v>18</v>
      </c>
      <c r="F337" s="4" t="s">
        <v>19</v>
      </c>
    </row>
    <row r="338" customFormat="false" ht="26.85" hidden="false" customHeight="false" outlineLevel="0" collapsed="false">
      <c r="A338" s="3" t="s">
        <v>7</v>
      </c>
      <c r="B338" s="3" t="s">
        <v>295</v>
      </c>
      <c r="C338" s="4" t="s">
        <v>249</v>
      </c>
      <c r="D338" s="7" t="s">
        <v>17</v>
      </c>
      <c r="E338" s="6" t="s">
        <v>18</v>
      </c>
      <c r="F338" s="4" t="s">
        <v>19</v>
      </c>
    </row>
    <row r="339" customFormat="false" ht="26.85" hidden="false" customHeight="false" outlineLevel="0" collapsed="false">
      <c r="A339" s="3" t="s">
        <v>29</v>
      </c>
      <c r="B339" s="3" t="s">
        <v>69</v>
      </c>
      <c r="C339" s="4" t="s">
        <v>303</v>
      </c>
      <c r="D339" s="7" t="s">
        <v>17</v>
      </c>
      <c r="E339" s="6" t="s">
        <v>18</v>
      </c>
      <c r="F339" s="4" t="s">
        <v>19</v>
      </c>
    </row>
    <row r="340" customFormat="false" ht="26.85" hidden="false" customHeight="false" outlineLevel="0" collapsed="false">
      <c r="A340" s="3" t="s">
        <v>29</v>
      </c>
      <c r="B340" s="3" t="s">
        <v>69</v>
      </c>
      <c r="C340" s="4" t="s">
        <v>304</v>
      </c>
      <c r="D340" s="7" t="s">
        <v>17</v>
      </c>
      <c r="E340" s="6" t="s">
        <v>18</v>
      </c>
      <c r="F340" s="4" t="s">
        <v>19</v>
      </c>
    </row>
    <row r="341" customFormat="false" ht="26.85" hidden="false" customHeight="false" outlineLevel="0" collapsed="false">
      <c r="A341" s="3" t="s">
        <v>29</v>
      </c>
      <c r="B341" s="3" t="s">
        <v>69</v>
      </c>
      <c r="C341" s="4" t="s">
        <v>305</v>
      </c>
      <c r="D341" s="5" t="s">
        <v>10</v>
      </c>
      <c r="E341" s="6" t="s">
        <v>11</v>
      </c>
      <c r="F341" s="4" t="s">
        <v>37</v>
      </c>
    </row>
    <row r="342" customFormat="false" ht="26.85" hidden="false" customHeight="false" outlineLevel="0" collapsed="false">
      <c r="A342" s="3" t="s">
        <v>29</v>
      </c>
      <c r="B342" s="3" t="s">
        <v>69</v>
      </c>
      <c r="C342" s="4" t="s">
        <v>306</v>
      </c>
      <c r="D342" s="7" t="s">
        <v>17</v>
      </c>
      <c r="E342" s="6" t="s">
        <v>18</v>
      </c>
      <c r="F342" s="4" t="s">
        <v>19</v>
      </c>
    </row>
    <row r="343" customFormat="false" ht="26.85" hidden="false" customHeight="false" outlineLevel="0" collapsed="false">
      <c r="A343" s="3" t="s">
        <v>29</v>
      </c>
      <c r="B343" s="3" t="s">
        <v>69</v>
      </c>
      <c r="C343" s="4" t="s">
        <v>307</v>
      </c>
      <c r="D343" s="7" t="s">
        <v>17</v>
      </c>
      <c r="E343" s="6" t="s">
        <v>18</v>
      </c>
      <c r="F343" s="4" t="s">
        <v>19</v>
      </c>
    </row>
    <row r="344" customFormat="false" ht="26.85" hidden="false" customHeight="false" outlineLevel="0" collapsed="false">
      <c r="A344" s="3" t="s">
        <v>29</v>
      </c>
      <c r="B344" s="3" t="s">
        <v>69</v>
      </c>
      <c r="C344" s="4" t="s">
        <v>308</v>
      </c>
      <c r="D344" s="7" t="s">
        <v>17</v>
      </c>
      <c r="E344" s="6" t="s">
        <v>18</v>
      </c>
      <c r="F344" s="4" t="s">
        <v>19</v>
      </c>
    </row>
    <row r="345" customFormat="false" ht="26.85" hidden="false" customHeight="false" outlineLevel="0" collapsed="false">
      <c r="A345" s="3" t="s">
        <v>69</v>
      </c>
      <c r="B345" s="3" t="s">
        <v>309</v>
      </c>
      <c r="C345" s="4" t="s">
        <v>310</v>
      </c>
      <c r="D345" s="7" t="s">
        <v>17</v>
      </c>
      <c r="E345" s="6" t="s">
        <v>18</v>
      </c>
      <c r="F345" s="4" t="s">
        <v>19</v>
      </c>
    </row>
    <row r="346" customFormat="false" ht="26.85" hidden="false" customHeight="false" outlineLevel="0" collapsed="false">
      <c r="A346" s="3" t="s">
        <v>69</v>
      </c>
      <c r="B346" s="3" t="s">
        <v>309</v>
      </c>
      <c r="C346" s="4" t="s">
        <v>311</v>
      </c>
      <c r="D346" s="7" t="s">
        <v>17</v>
      </c>
      <c r="E346" s="6" t="s">
        <v>18</v>
      </c>
      <c r="F346" s="4" t="s">
        <v>19</v>
      </c>
    </row>
    <row r="347" customFormat="false" ht="26.85" hidden="false" customHeight="false" outlineLevel="0" collapsed="false">
      <c r="A347" s="3" t="s">
        <v>69</v>
      </c>
      <c r="B347" s="3" t="s">
        <v>309</v>
      </c>
      <c r="C347" s="4" t="s">
        <v>312</v>
      </c>
      <c r="D347" s="5" t="s">
        <v>10</v>
      </c>
      <c r="E347" s="6" t="s">
        <v>11</v>
      </c>
      <c r="F347" s="4" t="s">
        <v>33</v>
      </c>
    </row>
    <row r="348" customFormat="false" ht="26.85" hidden="false" customHeight="false" outlineLevel="0" collapsed="false">
      <c r="A348" s="3" t="s">
        <v>69</v>
      </c>
      <c r="B348" s="3" t="s">
        <v>309</v>
      </c>
      <c r="C348" s="4" t="s">
        <v>313</v>
      </c>
      <c r="D348" s="8" t="s">
        <v>48</v>
      </c>
      <c r="E348" s="6" t="s">
        <v>49</v>
      </c>
      <c r="F348" s="4" t="s">
        <v>314</v>
      </c>
    </row>
    <row r="349" customFormat="false" ht="26.85" hidden="false" customHeight="false" outlineLevel="0" collapsed="false">
      <c r="A349" s="3" t="s">
        <v>69</v>
      </c>
      <c r="B349" s="3" t="s">
        <v>309</v>
      </c>
      <c r="C349" s="4" t="s">
        <v>315</v>
      </c>
      <c r="D349" s="7" t="s">
        <v>17</v>
      </c>
      <c r="E349" s="6" t="s">
        <v>18</v>
      </c>
      <c r="F349" s="4" t="s">
        <v>19</v>
      </c>
    </row>
    <row r="350" customFormat="false" ht="26.85" hidden="false" customHeight="false" outlineLevel="0" collapsed="false">
      <c r="A350" s="3" t="s">
        <v>316</v>
      </c>
      <c r="B350" s="3" t="s">
        <v>317</v>
      </c>
      <c r="C350" s="4" t="s">
        <v>318</v>
      </c>
      <c r="D350" s="7" t="s">
        <v>17</v>
      </c>
      <c r="E350" s="6" t="s">
        <v>18</v>
      </c>
      <c r="F350" s="4" t="s">
        <v>19</v>
      </c>
    </row>
    <row r="351" customFormat="false" ht="26.85" hidden="false" customHeight="false" outlineLevel="0" collapsed="false">
      <c r="A351" s="3" t="s">
        <v>316</v>
      </c>
      <c r="B351" s="3" t="s">
        <v>317</v>
      </c>
      <c r="C351" s="4" t="s">
        <v>319</v>
      </c>
      <c r="D351" s="7" t="s">
        <v>17</v>
      </c>
      <c r="E351" s="6" t="s">
        <v>18</v>
      </c>
      <c r="F351" s="4" t="s">
        <v>19</v>
      </c>
    </row>
    <row r="352" customFormat="false" ht="26.85" hidden="false" customHeight="false" outlineLevel="0" collapsed="false">
      <c r="A352" s="3" t="s">
        <v>316</v>
      </c>
      <c r="B352" s="3" t="s">
        <v>317</v>
      </c>
      <c r="C352" s="4" t="s">
        <v>320</v>
      </c>
      <c r="D352" s="7" t="s">
        <v>17</v>
      </c>
      <c r="E352" s="6" t="s">
        <v>18</v>
      </c>
      <c r="F352" s="4" t="s">
        <v>19</v>
      </c>
    </row>
    <row r="353" customFormat="false" ht="26.85" hidden="false" customHeight="false" outlineLevel="0" collapsed="false">
      <c r="A353" s="3" t="s">
        <v>316</v>
      </c>
      <c r="B353" s="3" t="s">
        <v>317</v>
      </c>
      <c r="C353" s="4" t="s">
        <v>321</v>
      </c>
      <c r="D353" s="7" t="s">
        <v>17</v>
      </c>
      <c r="E353" s="6" t="s">
        <v>18</v>
      </c>
      <c r="F353" s="4" t="s">
        <v>19</v>
      </c>
    </row>
    <row r="354" customFormat="false" ht="26.85" hidden="false" customHeight="false" outlineLevel="0" collapsed="false">
      <c r="A354" s="3" t="s">
        <v>316</v>
      </c>
      <c r="B354" s="3" t="s">
        <v>317</v>
      </c>
      <c r="C354" s="4" t="s">
        <v>322</v>
      </c>
      <c r="D354" s="7" t="s">
        <v>17</v>
      </c>
      <c r="E354" s="6" t="s">
        <v>18</v>
      </c>
      <c r="F354" s="4" t="s">
        <v>19</v>
      </c>
    </row>
    <row r="355" customFormat="false" ht="26.85" hidden="false" customHeight="false" outlineLevel="0" collapsed="false">
      <c r="A355" s="3" t="s">
        <v>69</v>
      </c>
      <c r="B355" s="3" t="s">
        <v>42</v>
      </c>
      <c r="C355" s="4" t="s">
        <v>43</v>
      </c>
      <c r="D355" s="7" t="s">
        <v>17</v>
      </c>
      <c r="E355" s="6" t="s">
        <v>18</v>
      </c>
      <c r="F355" s="4" t="s">
        <v>19</v>
      </c>
    </row>
    <row r="356" customFormat="false" ht="26.85" hidden="false" customHeight="false" outlineLevel="0" collapsed="false">
      <c r="A356" s="3" t="s">
        <v>69</v>
      </c>
      <c r="B356" s="3" t="s">
        <v>42</v>
      </c>
      <c r="C356" s="4" t="s">
        <v>44</v>
      </c>
      <c r="D356" s="7" t="s">
        <v>17</v>
      </c>
      <c r="E356" s="6" t="s">
        <v>18</v>
      </c>
      <c r="F356" s="4" t="s">
        <v>19</v>
      </c>
    </row>
    <row r="357" customFormat="false" ht="26.85" hidden="false" customHeight="false" outlineLevel="0" collapsed="false">
      <c r="A357" s="3" t="s">
        <v>69</v>
      </c>
      <c r="B357" s="3" t="s">
        <v>42</v>
      </c>
      <c r="C357" s="4" t="s">
        <v>45</v>
      </c>
      <c r="D357" s="5" t="s">
        <v>10</v>
      </c>
      <c r="E357" s="6" t="s">
        <v>11</v>
      </c>
      <c r="F357" s="4" t="s">
        <v>15</v>
      </c>
    </row>
    <row r="358" customFormat="false" ht="26.85" hidden="false" customHeight="false" outlineLevel="0" collapsed="false">
      <c r="A358" s="3" t="s">
        <v>69</v>
      </c>
      <c r="B358" s="3" t="s">
        <v>323</v>
      </c>
      <c r="C358" s="4" t="s">
        <v>324</v>
      </c>
      <c r="D358" s="7" t="s">
        <v>17</v>
      </c>
      <c r="E358" s="6" t="s">
        <v>18</v>
      </c>
      <c r="F358" s="4" t="s">
        <v>19</v>
      </c>
    </row>
    <row r="359" customFormat="false" ht="26.85" hidden="false" customHeight="false" outlineLevel="0" collapsed="false">
      <c r="A359" s="3" t="s">
        <v>69</v>
      </c>
      <c r="B359" s="3" t="s">
        <v>323</v>
      </c>
      <c r="C359" s="4" t="s">
        <v>325</v>
      </c>
      <c r="D359" s="5" t="s">
        <v>10</v>
      </c>
      <c r="E359" s="6" t="s">
        <v>11</v>
      </c>
      <c r="F359" s="4" t="s">
        <v>37</v>
      </c>
    </row>
    <row r="360" customFormat="false" ht="26.85" hidden="false" customHeight="false" outlineLevel="0" collapsed="false">
      <c r="A360" s="3" t="s">
        <v>69</v>
      </c>
      <c r="B360" s="3" t="s">
        <v>323</v>
      </c>
      <c r="C360" s="4" t="s">
        <v>326</v>
      </c>
      <c r="D360" s="5" t="s">
        <v>10</v>
      </c>
      <c r="E360" s="6" t="s">
        <v>11</v>
      </c>
      <c r="F360" s="4" t="s">
        <v>227</v>
      </c>
    </row>
    <row r="361" customFormat="false" ht="26.85" hidden="false" customHeight="false" outlineLevel="0" collapsed="false">
      <c r="A361" s="3" t="s">
        <v>69</v>
      </c>
      <c r="B361" s="3" t="s">
        <v>323</v>
      </c>
      <c r="C361" s="4" t="s">
        <v>327</v>
      </c>
      <c r="D361" s="7" t="s">
        <v>17</v>
      </c>
      <c r="E361" s="6" t="s">
        <v>18</v>
      </c>
      <c r="F361" s="4" t="s">
        <v>19</v>
      </c>
    </row>
    <row r="362" customFormat="false" ht="26.85" hidden="false" customHeight="false" outlineLevel="0" collapsed="false">
      <c r="A362" s="3" t="s">
        <v>69</v>
      </c>
      <c r="B362" s="3" t="s">
        <v>323</v>
      </c>
      <c r="C362" s="4" t="s">
        <v>328</v>
      </c>
      <c r="D362" s="7" t="s">
        <v>17</v>
      </c>
      <c r="E362" s="6" t="s">
        <v>18</v>
      </c>
      <c r="F362" s="4" t="s">
        <v>19</v>
      </c>
    </row>
    <row r="363" customFormat="false" ht="26.85" hidden="false" customHeight="false" outlineLevel="0" collapsed="false">
      <c r="A363" s="3" t="s">
        <v>69</v>
      </c>
      <c r="B363" s="3" t="s">
        <v>323</v>
      </c>
      <c r="C363" s="4" t="s">
        <v>329</v>
      </c>
      <c r="D363" s="7" t="s">
        <v>17</v>
      </c>
      <c r="E363" s="6" t="s">
        <v>18</v>
      </c>
      <c r="F363" s="4" t="s">
        <v>19</v>
      </c>
    </row>
    <row r="364" customFormat="false" ht="26.85" hidden="false" customHeight="false" outlineLevel="0" collapsed="false">
      <c r="A364" s="3" t="s">
        <v>69</v>
      </c>
      <c r="B364" s="3" t="s">
        <v>330</v>
      </c>
      <c r="C364" s="4" t="s">
        <v>331</v>
      </c>
      <c r="D364" s="5" t="s">
        <v>10</v>
      </c>
      <c r="E364" s="6" t="s">
        <v>11</v>
      </c>
      <c r="F364" s="4" t="s">
        <v>85</v>
      </c>
    </row>
    <row r="365" customFormat="false" ht="26.85" hidden="false" customHeight="false" outlineLevel="0" collapsed="false">
      <c r="A365" s="3" t="s">
        <v>69</v>
      </c>
      <c r="B365" s="3" t="s">
        <v>330</v>
      </c>
      <c r="C365" s="4" t="s">
        <v>332</v>
      </c>
      <c r="D365" s="7" t="s">
        <v>17</v>
      </c>
      <c r="E365" s="6" t="s">
        <v>18</v>
      </c>
      <c r="F365" s="4" t="s">
        <v>19</v>
      </c>
    </row>
    <row r="366" customFormat="false" ht="26.85" hidden="false" customHeight="false" outlineLevel="0" collapsed="false">
      <c r="A366" s="3" t="s">
        <v>69</v>
      </c>
      <c r="B366" s="3" t="s">
        <v>330</v>
      </c>
      <c r="C366" s="4" t="s">
        <v>333</v>
      </c>
      <c r="D366" s="7" t="s">
        <v>17</v>
      </c>
      <c r="E366" s="6" t="s">
        <v>18</v>
      </c>
      <c r="F366" s="4" t="s">
        <v>19</v>
      </c>
    </row>
    <row r="367" customFormat="false" ht="26.85" hidden="false" customHeight="false" outlineLevel="0" collapsed="false">
      <c r="A367" s="3" t="s">
        <v>69</v>
      </c>
      <c r="B367" s="3" t="s">
        <v>330</v>
      </c>
      <c r="C367" s="4" t="s">
        <v>334</v>
      </c>
      <c r="D367" s="7" t="s">
        <v>17</v>
      </c>
      <c r="E367" s="6" t="s">
        <v>18</v>
      </c>
      <c r="F367" s="4" t="s">
        <v>19</v>
      </c>
    </row>
    <row r="368" customFormat="false" ht="26.85" hidden="false" customHeight="false" outlineLevel="0" collapsed="false">
      <c r="A368" s="3" t="s">
        <v>69</v>
      </c>
      <c r="B368" s="3" t="s">
        <v>8</v>
      </c>
      <c r="C368" s="4" t="s">
        <v>9</v>
      </c>
      <c r="D368" s="5" t="s">
        <v>10</v>
      </c>
      <c r="E368" s="6" t="s">
        <v>11</v>
      </c>
      <c r="F368" s="4" t="s">
        <v>12</v>
      </c>
    </row>
    <row r="369" customFormat="false" ht="26.85" hidden="false" customHeight="false" outlineLevel="0" collapsed="false">
      <c r="A369" s="3" t="s">
        <v>69</v>
      </c>
      <c r="B369" s="3" t="s">
        <v>8</v>
      </c>
      <c r="C369" s="4" t="s">
        <v>13</v>
      </c>
      <c r="D369" s="5" t="s">
        <v>10</v>
      </c>
      <c r="E369" s="6" t="s">
        <v>11</v>
      </c>
      <c r="F369" s="4" t="s">
        <v>12</v>
      </c>
    </row>
    <row r="370" customFormat="false" ht="26.85" hidden="false" customHeight="false" outlineLevel="0" collapsed="false">
      <c r="A370" s="3" t="s">
        <v>69</v>
      </c>
      <c r="B370" s="3" t="s">
        <v>8</v>
      </c>
      <c r="C370" s="4" t="s">
        <v>14</v>
      </c>
      <c r="D370" s="5" t="s">
        <v>10</v>
      </c>
      <c r="E370" s="6" t="s">
        <v>11</v>
      </c>
      <c r="F370" s="4" t="s">
        <v>15</v>
      </c>
    </row>
    <row r="371" customFormat="false" ht="39.55" hidden="false" customHeight="false" outlineLevel="0" collapsed="false">
      <c r="A371" s="3" t="s">
        <v>69</v>
      </c>
      <c r="B371" s="3" t="s">
        <v>8</v>
      </c>
      <c r="C371" s="4" t="s">
        <v>16</v>
      </c>
      <c r="D371" s="7" t="s">
        <v>17</v>
      </c>
      <c r="E371" s="6" t="s">
        <v>18</v>
      </c>
      <c r="F371" s="4" t="s">
        <v>19</v>
      </c>
    </row>
    <row r="372" customFormat="false" ht="26.85" hidden="false" customHeight="false" outlineLevel="0" collapsed="false">
      <c r="A372" s="3" t="s">
        <v>7</v>
      </c>
      <c r="B372" s="3" t="s">
        <v>335</v>
      </c>
      <c r="C372" s="4" t="s">
        <v>336</v>
      </c>
      <c r="D372" s="7" t="s">
        <v>17</v>
      </c>
      <c r="E372" s="6" t="s">
        <v>18</v>
      </c>
      <c r="F372" s="4" t="s">
        <v>19</v>
      </c>
    </row>
    <row r="373" customFormat="false" ht="26.85" hidden="false" customHeight="false" outlineLevel="0" collapsed="false">
      <c r="A373" s="3" t="s">
        <v>7</v>
      </c>
      <c r="B373" s="3" t="s">
        <v>335</v>
      </c>
      <c r="C373" s="4" t="s">
        <v>337</v>
      </c>
      <c r="D373" s="7" t="s">
        <v>17</v>
      </c>
      <c r="E373" s="6" t="s">
        <v>18</v>
      </c>
      <c r="F373" s="4" t="s">
        <v>19</v>
      </c>
    </row>
    <row r="374" customFormat="false" ht="26.85" hidden="false" customHeight="false" outlineLevel="0" collapsed="false">
      <c r="A374" s="3" t="s">
        <v>7</v>
      </c>
      <c r="B374" s="3" t="s">
        <v>335</v>
      </c>
      <c r="C374" s="4" t="s">
        <v>338</v>
      </c>
      <c r="D374" s="7" t="s">
        <v>17</v>
      </c>
      <c r="E374" s="6" t="s">
        <v>18</v>
      </c>
      <c r="F374" s="4" t="s">
        <v>19</v>
      </c>
    </row>
    <row r="375" customFormat="false" ht="26.85" hidden="false" customHeight="false" outlineLevel="0" collapsed="false">
      <c r="A375" s="3" t="s">
        <v>7</v>
      </c>
      <c r="B375" s="3" t="s">
        <v>335</v>
      </c>
      <c r="C375" s="4" t="s">
        <v>339</v>
      </c>
      <c r="D375" s="7" t="s">
        <v>17</v>
      </c>
      <c r="E375" s="6" t="s">
        <v>18</v>
      </c>
      <c r="F375" s="4" t="s">
        <v>19</v>
      </c>
    </row>
    <row r="376" customFormat="false" ht="26.85" hidden="false" customHeight="false" outlineLevel="0" collapsed="false">
      <c r="A376" s="3" t="s">
        <v>69</v>
      </c>
      <c r="B376" s="3" t="s">
        <v>340</v>
      </c>
      <c r="C376" s="4" t="s">
        <v>341</v>
      </c>
      <c r="D376" s="7" t="s">
        <v>17</v>
      </c>
      <c r="E376" s="6" t="s">
        <v>18</v>
      </c>
      <c r="F376" s="4" t="s">
        <v>19</v>
      </c>
    </row>
    <row r="377" customFormat="false" ht="26.85" hidden="false" customHeight="false" outlineLevel="0" collapsed="false">
      <c r="A377" s="3" t="s">
        <v>69</v>
      </c>
      <c r="B377" s="3" t="s">
        <v>340</v>
      </c>
      <c r="C377" s="4" t="s">
        <v>342</v>
      </c>
      <c r="D377" s="7" t="s">
        <v>17</v>
      </c>
      <c r="E377" s="6" t="s">
        <v>18</v>
      </c>
      <c r="F377" s="4" t="s">
        <v>19</v>
      </c>
    </row>
    <row r="378" customFormat="false" ht="26.85" hidden="false" customHeight="false" outlineLevel="0" collapsed="false">
      <c r="A378" s="3" t="s">
        <v>69</v>
      </c>
      <c r="B378" s="3" t="s">
        <v>340</v>
      </c>
      <c r="C378" s="4" t="s">
        <v>343</v>
      </c>
      <c r="D378" s="7" t="s">
        <v>17</v>
      </c>
      <c r="E378" s="6" t="s">
        <v>18</v>
      </c>
      <c r="F378" s="4" t="s">
        <v>19</v>
      </c>
    </row>
    <row r="379" customFormat="false" ht="26.85" hidden="false" customHeight="false" outlineLevel="0" collapsed="false">
      <c r="A379" s="3" t="s">
        <v>7</v>
      </c>
      <c r="B379" s="3" t="s">
        <v>344</v>
      </c>
      <c r="C379" s="4" t="s">
        <v>345</v>
      </c>
      <c r="D379" s="7" t="s">
        <v>17</v>
      </c>
      <c r="E379" s="6" t="s">
        <v>18</v>
      </c>
      <c r="F379" s="4" t="s">
        <v>19</v>
      </c>
    </row>
    <row r="380" customFormat="false" ht="26.85" hidden="false" customHeight="false" outlineLevel="0" collapsed="false">
      <c r="A380" s="3" t="s">
        <v>7</v>
      </c>
      <c r="B380" s="3" t="s">
        <v>344</v>
      </c>
      <c r="C380" s="4" t="s">
        <v>346</v>
      </c>
      <c r="D380" s="7" t="s">
        <v>17</v>
      </c>
      <c r="E380" s="6" t="s">
        <v>18</v>
      </c>
      <c r="F380" s="4" t="s">
        <v>19</v>
      </c>
    </row>
    <row r="381" customFormat="false" ht="26.85" hidden="false" customHeight="false" outlineLevel="0" collapsed="false">
      <c r="A381" s="3" t="s">
        <v>7</v>
      </c>
      <c r="B381" s="3" t="s">
        <v>344</v>
      </c>
      <c r="C381" s="4" t="s">
        <v>347</v>
      </c>
      <c r="D381" s="7" t="s">
        <v>17</v>
      </c>
      <c r="E381" s="6" t="s">
        <v>18</v>
      </c>
      <c r="F381" s="4" t="s">
        <v>19</v>
      </c>
    </row>
    <row r="382" customFormat="false" ht="26.85" hidden="false" customHeight="false" outlineLevel="0" collapsed="false">
      <c r="A382" s="3" t="s">
        <v>7</v>
      </c>
      <c r="B382" s="3" t="s">
        <v>344</v>
      </c>
      <c r="C382" s="4" t="s">
        <v>348</v>
      </c>
      <c r="D382" s="7" t="s">
        <v>17</v>
      </c>
      <c r="E382" s="6" t="s">
        <v>18</v>
      </c>
      <c r="F382" s="4" t="s">
        <v>19</v>
      </c>
    </row>
    <row r="383" customFormat="false" ht="26.85" hidden="false" customHeight="false" outlineLevel="0" collapsed="false">
      <c r="A383" s="3" t="s">
        <v>7</v>
      </c>
      <c r="B383" s="3" t="s">
        <v>344</v>
      </c>
      <c r="C383" s="4" t="s">
        <v>349</v>
      </c>
      <c r="D383" s="5" t="s">
        <v>10</v>
      </c>
      <c r="E383" s="6" t="s">
        <v>11</v>
      </c>
      <c r="F383" s="4" t="s">
        <v>37</v>
      </c>
    </row>
    <row r="384" customFormat="false" ht="26.85" hidden="false" customHeight="false" outlineLevel="0" collapsed="false">
      <c r="A384" s="3" t="s">
        <v>78</v>
      </c>
      <c r="B384" s="3" t="s">
        <v>350</v>
      </c>
      <c r="C384" s="4" t="s">
        <v>351</v>
      </c>
      <c r="D384" s="7" t="s">
        <v>17</v>
      </c>
      <c r="E384" s="6" t="s">
        <v>18</v>
      </c>
      <c r="F384" s="4" t="s">
        <v>19</v>
      </c>
    </row>
    <row r="385" customFormat="false" ht="26.85" hidden="false" customHeight="false" outlineLevel="0" collapsed="false">
      <c r="A385" s="3" t="s">
        <v>78</v>
      </c>
      <c r="B385" s="3" t="s">
        <v>350</v>
      </c>
      <c r="C385" s="4" t="s">
        <v>352</v>
      </c>
      <c r="D385" s="7" t="s">
        <v>17</v>
      </c>
      <c r="E385" s="6" t="s">
        <v>18</v>
      </c>
      <c r="F385" s="4" t="s">
        <v>19</v>
      </c>
    </row>
    <row r="386" customFormat="false" ht="26.85" hidden="false" customHeight="false" outlineLevel="0" collapsed="false">
      <c r="A386" s="3" t="s">
        <v>78</v>
      </c>
      <c r="B386" s="3" t="s">
        <v>350</v>
      </c>
      <c r="C386" s="4" t="s">
        <v>353</v>
      </c>
      <c r="D386" s="7" t="s">
        <v>17</v>
      </c>
      <c r="E386" s="6" t="s">
        <v>18</v>
      </c>
      <c r="F386" s="4" t="s">
        <v>19</v>
      </c>
    </row>
    <row r="387" customFormat="false" ht="26.85" hidden="false" customHeight="false" outlineLevel="0" collapsed="false">
      <c r="A387" s="3" t="s">
        <v>78</v>
      </c>
      <c r="B387" s="3" t="s">
        <v>350</v>
      </c>
      <c r="C387" s="4" t="s">
        <v>354</v>
      </c>
      <c r="D387" s="7" t="s">
        <v>17</v>
      </c>
      <c r="E387" s="6" t="s">
        <v>18</v>
      </c>
      <c r="F387" s="4" t="s">
        <v>19</v>
      </c>
    </row>
    <row r="388" customFormat="false" ht="26.85" hidden="false" customHeight="false" outlineLevel="0" collapsed="false">
      <c r="A388" s="3" t="s">
        <v>355</v>
      </c>
      <c r="B388" s="3" t="s">
        <v>356</v>
      </c>
      <c r="C388" s="4" t="s">
        <v>357</v>
      </c>
      <c r="D388" s="7" t="s">
        <v>17</v>
      </c>
      <c r="E388" s="6" t="s">
        <v>18</v>
      </c>
      <c r="F388" s="4" t="s">
        <v>19</v>
      </c>
    </row>
    <row r="389" customFormat="false" ht="26.85" hidden="false" customHeight="false" outlineLevel="0" collapsed="false">
      <c r="A389" s="3" t="s">
        <v>355</v>
      </c>
      <c r="B389" s="3" t="s">
        <v>356</v>
      </c>
      <c r="C389" s="4" t="s">
        <v>358</v>
      </c>
      <c r="D389" s="7" t="s">
        <v>17</v>
      </c>
      <c r="E389" s="6" t="s">
        <v>18</v>
      </c>
      <c r="F389" s="4" t="s">
        <v>19</v>
      </c>
    </row>
    <row r="390" customFormat="false" ht="26.85" hidden="false" customHeight="false" outlineLevel="0" collapsed="false">
      <c r="A390" s="3" t="s">
        <v>355</v>
      </c>
      <c r="B390" s="3" t="s">
        <v>356</v>
      </c>
      <c r="C390" s="4" t="s">
        <v>359</v>
      </c>
      <c r="D390" s="5" t="s">
        <v>10</v>
      </c>
      <c r="E390" s="6" t="s">
        <v>11</v>
      </c>
      <c r="F390" s="4" t="s">
        <v>213</v>
      </c>
    </row>
    <row r="391" customFormat="false" ht="26.85" hidden="false" customHeight="false" outlineLevel="0" collapsed="false">
      <c r="A391" s="3" t="s">
        <v>355</v>
      </c>
      <c r="B391" s="3" t="s">
        <v>356</v>
      </c>
      <c r="C391" s="4" t="s">
        <v>360</v>
      </c>
      <c r="D391" s="7" t="s">
        <v>17</v>
      </c>
      <c r="E391" s="6" t="s">
        <v>18</v>
      </c>
      <c r="F391" s="4" t="s">
        <v>19</v>
      </c>
    </row>
    <row r="392" customFormat="false" ht="26.85" hidden="false" customHeight="false" outlineLevel="0" collapsed="false">
      <c r="A392" s="3" t="s">
        <v>69</v>
      </c>
      <c r="B392" s="3" t="s">
        <v>361</v>
      </c>
      <c r="C392" s="4" t="s">
        <v>362</v>
      </c>
      <c r="D392" s="7" t="s">
        <v>17</v>
      </c>
      <c r="E392" s="6" t="s">
        <v>18</v>
      </c>
      <c r="F392" s="4" t="s">
        <v>19</v>
      </c>
    </row>
    <row r="393" customFormat="false" ht="26.85" hidden="false" customHeight="false" outlineLevel="0" collapsed="false">
      <c r="A393" s="3" t="s">
        <v>69</v>
      </c>
      <c r="B393" s="3" t="s">
        <v>361</v>
      </c>
      <c r="C393" s="4" t="s">
        <v>363</v>
      </c>
      <c r="D393" s="7" t="s">
        <v>17</v>
      </c>
      <c r="E393" s="6" t="s">
        <v>18</v>
      </c>
      <c r="F393" s="4" t="s">
        <v>19</v>
      </c>
    </row>
    <row r="394" customFormat="false" ht="26.85" hidden="false" customHeight="false" outlineLevel="0" collapsed="false">
      <c r="A394" s="3" t="s">
        <v>69</v>
      </c>
      <c r="B394" s="3" t="s">
        <v>361</v>
      </c>
      <c r="C394" s="4" t="s">
        <v>364</v>
      </c>
      <c r="D394" s="7" t="s">
        <v>17</v>
      </c>
      <c r="E394" s="6" t="s">
        <v>18</v>
      </c>
      <c r="F394" s="4" t="s">
        <v>19</v>
      </c>
    </row>
    <row r="395" customFormat="false" ht="26.85" hidden="false" customHeight="false" outlineLevel="0" collapsed="false">
      <c r="A395" s="3" t="s">
        <v>69</v>
      </c>
      <c r="B395" s="3" t="s">
        <v>361</v>
      </c>
      <c r="C395" s="4" t="s">
        <v>365</v>
      </c>
      <c r="D395" s="7" t="s">
        <v>17</v>
      </c>
      <c r="E395" s="6" t="s">
        <v>18</v>
      </c>
      <c r="F395" s="4" t="s">
        <v>19</v>
      </c>
    </row>
    <row r="396" customFormat="false" ht="26.85" hidden="false" customHeight="false" outlineLevel="0" collapsed="false">
      <c r="A396" s="3" t="s">
        <v>69</v>
      </c>
      <c r="B396" s="3" t="s">
        <v>366</v>
      </c>
      <c r="C396" s="4" t="s">
        <v>367</v>
      </c>
      <c r="D396" s="7" t="s">
        <v>17</v>
      </c>
      <c r="E396" s="6" t="s">
        <v>18</v>
      </c>
      <c r="F396" s="4" t="s">
        <v>19</v>
      </c>
    </row>
    <row r="397" customFormat="false" ht="26.85" hidden="false" customHeight="false" outlineLevel="0" collapsed="false">
      <c r="A397" s="3" t="s">
        <v>69</v>
      </c>
      <c r="B397" s="3" t="s">
        <v>366</v>
      </c>
      <c r="C397" s="4" t="s">
        <v>368</v>
      </c>
      <c r="D397" s="5" t="s">
        <v>10</v>
      </c>
      <c r="E397" s="6" t="s">
        <v>11</v>
      </c>
      <c r="F397" s="4" t="s">
        <v>37</v>
      </c>
    </row>
    <row r="398" customFormat="false" ht="26.85" hidden="false" customHeight="false" outlineLevel="0" collapsed="false">
      <c r="A398" s="3" t="s">
        <v>69</v>
      </c>
      <c r="B398" s="3" t="s">
        <v>366</v>
      </c>
      <c r="C398" s="4" t="s">
        <v>369</v>
      </c>
      <c r="D398" s="7" t="s">
        <v>17</v>
      </c>
      <c r="E398" s="6" t="s">
        <v>18</v>
      </c>
      <c r="F398" s="4" t="s">
        <v>19</v>
      </c>
    </row>
    <row r="399" customFormat="false" ht="26.85" hidden="false" customHeight="false" outlineLevel="0" collapsed="false">
      <c r="A399" s="3" t="s">
        <v>69</v>
      </c>
      <c r="B399" s="3" t="s">
        <v>21</v>
      </c>
      <c r="C399" s="4" t="s">
        <v>22</v>
      </c>
      <c r="D399" s="5" t="s">
        <v>10</v>
      </c>
      <c r="E399" s="6" t="s">
        <v>11</v>
      </c>
      <c r="F399" s="4" t="s">
        <v>23</v>
      </c>
    </row>
    <row r="400" customFormat="false" ht="26.85" hidden="false" customHeight="false" outlineLevel="0" collapsed="false">
      <c r="A400" s="3" t="s">
        <v>69</v>
      </c>
      <c r="B400" s="3" t="s">
        <v>21</v>
      </c>
      <c r="C400" s="4" t="s">
        <v>24</v>
      </c>
      <c r="D400" s="5" t="s">
        <v>10</v>
      </c>
      <c r="E400" s="6" t="s">
        <v>11</v>
      </c>
      <c r="F400" s="4" t="s">
        <v>25</v>
      </c>
    </row>
    <row r="401" customFormat="false" ht="26.85" hidden="false" customHeight="false" outlineLevel="0" collapsed="false">
      <c r="A401" s="3" t="s">
        <v>69</v>
      </c>
      <c r="B401" s="3" t="s">
        <v>21</v>
      </c>
      <c r="C401" s="4" t="s">
        <v>26</v>
      </c>
      <c r="D401" s="5" t="s">
        <v>10</v>
      </c>
      <c r="E401" s="6" t="s">
        <v>11</v>
      </c>
      <c r="F401" s="4" t="s">
        <v>23</v>
      </c>
    </row>
    <row r="402" customFormat="false" ht="26.85" hidden="false" customHeight="false" outlineLevel="0" collapsed="false">
      <c r="A402" s="3" t="s">
        <v>69</v>
      </c>
      <c r="B402" s="3" t="s">
        <v>21</v>
      </c>
      <c r="C402" s="4" t="s">
        <v>27</v>
      </c>
      <c r="D402" s="5" t="s">
        <v>10</v>
      </c>
      <c r="E402" s="6" t="s">
        <v>11</v>
      </c>
      <c r="F402" s="4" t="s">
        <v>25</v>
      </c>
    </row>
    <row r="403" customFormat="false" ht="26.85" hidden="false" customHeight="false" outlineLevel="0" collapsed="false">
      <c r="A403" s="3" t="s">
        <v>69</v>
      </c>
      <c r="B403" s="3" t="s">
        <v>21</v>
      </c>
      <c r="C403" s="4" t="s">
        <v>28</v>
      </c>
      <c r="D403" s="7" t="s">
        <v>17</v>
      </c>
      <c r="E403" s="6" t="s">
        <v>18</v>
      </c>
      <c r="F403" s="4" t="s">
        <v>19</v>
      </c>
    </row>
    <row r="404" customFormat="false" ht="26.85" hidden="false" customHeight="false" outlineLevel="0" collapsed="false">
      <c r="A404" s="3" t="s">
        <v>69</v>
      </c>
      <c r="B404" s="3" t="s">
        <v>370</v>
      </c>
      <c r="C404" s="4" t="s">
        <v>371</v>
      </c>
      <c r="D404" s="7" t="s">
        <v>17</v>
      </c>
      <c r="E404" s="6" t="s">
        <v>18</v>
      </c>
      <c r="F404" s="4" t="s">
        <v>19</v>
      </c>
    </row>
    <row r="405" customFormat="false" ht="26.85" hidden="false" customHeight="false" outlineLevel="0" collapsed="false">
      <c r="A405" s="3" t="s">
        <v>69</v>
      </c>
      <c r="B405" s="3" t="s">
        <v>370</v>
      </c>
      <c r="C405" s="4" t="s">
        <v>372</v>
      </c>
      <c r="D405" s="7" t="s">
        <v>17</v>
      </c>
      <c r="E405" s="6" t="s">
        <v>18</v>
      </c>
      <c r="F405" s="4" t="s">
        <v>19</v>
      </c>
    </row>
    <row r="406" customFormat="false" ht="26.85" hidden="false" customHeight="false" outlineLevel="0" collapsed="false">
      <c r="A406" s="3" t="s">
        <v>69</v>
      </c>
      <c r="B406" s="3" t="s">
        <v>370</v>
      </c>
      <c r="C406" s="4" t="s">
        <v>373</v>
      </c>
      <c r="D406" s="7" t="s">
        <v>17</v>
      </c>
      <c r="E406" s="6" t="s">
        <v>18</v>
      </c>
      <c r="F406" s="4" t="s">
        <v>19</v>
      </c>
    </row>
    <row r="407" customFormat="false" ht="26.85" hidden="false" customHeight="false" outlineLevel="0" collapsed="false">
      <c r="A407" s="3" t="s">
        <v>78</v>
      </c>
      <c r="B407" s="3" t="s">
        <v>374</v>
      </c>
      <c r="C407" s="4" t="s">
        <v>375</v>
      </c>
      <c r="D407" s="7" t="s">
        <v>17</v>
      </c>
      <c r="E407" s="6" t="s">
        <v>18</v>
      </c>
      <c r="F407" s="4" t="s">
        <v>19</v>
      </c>
    </row>
    <row r="408" customFormat="false" ht="26.85" hidden="false" customHeight="false" outlineLevel="0" collapsed="false">
      <c r="A408" s="3" t="s">
        <v>78</v>
      </c>
      <c r="B408" s="3" t="s">
        <v>374</v>
      </c>
      <c r="C408" s="4" t="s">
        <v>376</v>
      </c>
      <c r="D408" s="7" t="s">
        <v>17</v>
      </c>
      <c r="E408" s="6" t="s">
        <v>18</v>
      </c>
      <c r="F408" s="4" t="s">
        <v>19</v>
      </c>
    </row>
    <row r="409" customFormat="false" ht="26.85" hidden="false" customHeight="false" outlineLevel="0" collapsed="false">
      <c r="A409" s="3" t="s">
        <v>78</v>
      </c>
      <c r="B409" s="3" t="s">
        <v>374</v>
      </c>
      <c r="C409" s="4" t="s">
        <v>377</v>
      </c>
      <c r="D409" s="7" t="s">
        <v>17</v>
      </c>
      <c r="E409" s="6" t="s">
        <v>18</v>
      </c>
      <c r="F409" s="4" t="s">
        <v>19</v>
      </c>
    </row>
    <row r="410" customFormat="false" ht="26.85" hidden="false" customHeight="false" outlineLevel="0" collapsed="false">
      <c r="A410" s="3" t="s">
        <v>78</v>
      </c>
      <c r="B410" s="3" t="s">
        <v>374</v>
      </c>
      <c r="C410" s="4" t="s">
        <v>378</v>
      </c>
      <c r="D410" s="7" t="s">
        <v>17</v>
      </c>
      <c r="E410" s="6" t="s">
        <v>18</v>
      </c>
      <c r="F410" s="4" t="s">
        <v>19</v>
      </c>
    </row>
    <row r="411" customFormat="false" ht="26.85" hidden="false" customHeight="false" outlineLevel="0" collapsed="false">
      <c r="A411" s="3" t="s">
        <v>69</v>
      </c>
      <c r="B411" s="3" t="s">
        <v>290</v>
      </c>
      <c r="C411" s="4" t="s">
        <v>379</v>
      </c>
      <c r="D411" s="7" t="s">
        <v>17</v>
      </c>
      <c r="E411" s="6" t="s">
        <v>18</v>
      </c>
      <c r="F411" s="4" t="s">
        <v>19</v>
      </c>
    </row>
    <row r="412" customFormat="false" ht="26.85" hidden="false" customHeight="false" outlineLevel="0" collapsed="false">
      <c r="A412" s="3" t="s">
        <v>69</v>
      </c>
      <c r="B412" s="3" t="s">
        <v>290</v>
      </c>
      <c r="C412" s="4" t="s">
        <v>380</v>
      </c>
      <c r="D412" s="7" t="s">
        <v>17</v>
      </c>
      <c r="E412" s="6" t="s">
        <v>18</v>
      </c>
      <c r="F412" s="4" t="s">
        <v>19</v>
      </c>
    </row>
    <row r="413" customFormat="false" ht="26.85" hidden="false" customHeight="false" outlineLevel="0" collapsed="false">
      <c r="A413" s="3" t="s">
        <v>78</v>
      </c>
      <c r="B413" s="3" t="s">
        <v>381</v>
      </c>
      <c r="C413" s="4" t="s">
        <v>382</v>
      </c>
      <c r="D413" s="7" t="s">
        <v>17</v>
      </c>
      <c r="E413" s="6" t="s">
        <v>18</v>
      </c>
      <c r="F413" s="4" t="s">
        <v>19</v>
      </c>
    </row>
    <row r="414" customFormat="false" ht="26.85" hidden="false" customHeight="false" outlineLevel="0" collapsed="false">
      <c r="A414" s="3" t="s">
        <v>78</v>
      </c>
      <c r="B414" s="3" t="s">
        <v>381</v>
      </c>
      <c r="C414" s="4" t="s">
        <v>383</v>
      </c>
      <c r="D414" s="7" t="s">
        <v>17</v>
      </c>
      <c r="E414" s="6" t="s">
        <v>18</v>
      </c>
      <c r="F414" s="4" t="s">
        <v>19</v>
      </c>
    </row>
    <row r="415" customFormat="false" ht="26.85" hidden="false" customHeight="false" outlineLevel="0" collapsed="false">
      <c r="A415" s="3" t="s">
        <v>78</v>
      </c>
      <c r="B415" s="3" t="s">
        <v>381</v>
      </c>
      <c r="C415" s="4" t="s">
        <v>384</v>
      </c>
      <c r="D415" s="7" t="s">
        <v>17</v>
      </c>
      <c r="E415" s="6" t="s">
        <v>18</v>
      </c>
      <c r="F415" s="4" t="s">
        <v>19</v>
      </c>
    </row>
    <row r="416" customFormat="false" ht="26.85" hidden="false" customHeight="false" outlineLevel="0" collapsed="false">
      <c r="A416" s="3" t="s">
        <v>29</v>
      </c>
      <c r="B416" s="3" t="s">
        <v>385</v>
      </c>
      <c r="C416" s="4" t="s">
        <v>386</v>
      </c>
      <c r="D416" s="7" t="s">
        <v>17</v>
      </c>
      <c r="E416" s="6" t="s">
        <v>18</v>
      </c>
      <c r="F416" s="4" t="s">
        <v>19</v>
      </c>
    </row>
    <row r="417" customFormat="false" ht="26.85" hidden="false" customHeight="false" outlineLevel="0" collapsed="false">
      <c r="A417" s="3" t="s">
        <v>29</v>
      </c>
      <c r="B417" s="3" t="s">
        <v>385</v>
      </c>
      <c r="C417" s="4" t="s">
        <v>387</v>
      </c>
      <c r="D417" s="7" t="s">
        <v>17</v>
      </c>
      <c r="E417" s="6" t="s">
        <v>18</v>
      </c>
      <c r="F417" s="4" t="s">
        <v>19</v>
      </c>
    </row>
    <row r="418" customFormat="false" ht="26.85" hidden="false" customHeight="false" outlineLevel="0" collapsed="false">
      <c r="A418" s="3" t="s">
        <v>78</v>
      </c>
      <c r="B418" s="3" t="s">
        <v>70</v>
      </c>
      <c r="C418" s="4" t="s">
        <v>388</v>
      </c>
      <c r="D418" s="7" t="s">
        <v>17</v>
      </c>
      <c r="E418" s="6" t="s">
        <v>18</v>
      </c>
      <c r="F418" s="4" t="s">
        <v>19</v>
      </c>
    </row>
    <row r="419" customFormat="false" ht="26.85" hidden="false" customHeight="false" outlineLevel="0" collapsed="false">
      <c r="A419" s="3" t="s">
        <v>78</v>
      </c>
      <c r="B419" s="3" t="s">
        <v>70</v>
      </c>
      <c r="C419" s="4" t="s">
        <v>389</v>
      </c>
      <c r="D419" s="7" t="s">
        <v>17</v>
      </c>
      <c r="E419" s="6" t="s">
        <v>18</v>
      </c>
      <c r="F419" s="4" t="s">
        <v>19</v>
      </c>
    </row>
    <row r="420" customFormat="false" ht="26.85" hidden="false" customHeight="false" outlineLevel="0" collapsed="false">
      <c r="A420" s="3" t="s">
        <v>78</v>
      </c>
      <c r="B420" s="3" t="s">
        <v>70</v>
      </c>
      <c r="C420" s="4" t="s">
        <v>390</v>
      </c>
      <c r="D420" s="7" t="s">
        <v>17</v>
      </c>
      <c r="E420" s="6" t="s">
        <v>18</v>
      </c>
      <c r="F420" s="4" t="s">
        <v>19</v>
      </c>
    </row>
    <row r="421" customFormat="false" ht="26.85" hidden="false" customHeight="false" outlineLevel="0" collapsed="false">
      <c r="A421" s="3" t="s">
        <v>78</v>
      </c>
      <c r="B421" s="3" t="s">
        <v>70</v>
      </c>
      <c r="C421" s="4" t="s">
        <v>391</v>
      </c>
      <c r="D421" s="7" t="s">
        <v>17</v>
      </c>
      <c r="E421" s="6" t="s">
        <v>18</v>
      </c>
      <c r="F421" s="4" t="s">
        <v>19</v>
      </c>
    </row>
    <row r="422" customFormat="false" ht="26.85" hidden="false" customHeight="false" outlineLevel="0" collapsed="false">
      <c r="A422" s="3" t="s">
        <v>70</v>
      </c>
      <c r="B422" s="3" t="s">
        <v>392</v>
      </c>
      <c r="C422" s="4" t="s">
        <v>393</v>
      </c>
      <c r="D422" s="7" t="s">
        <v>17</v>
      </c>
      <c r="E422" s="6" t="s">
        <v>18</v>
      </c>
      <c r="F422" s="4" t="s">
        <v>19</v>
      </c>
    </row>
    <row r="423" customFormat="false" ht="26.85" hidden="false" customHeight="false" outlineLevel="0" collapsed="false">
      <c r="A423" s="3" t="s">
        <v>70</v>
      </c>
      <c r="B423" s="3" t="s">
        <v>392</v>
      </c>
      <c r="C423" s="4" t="s">
        <v>394</v>
      </c>
      <c r="D423" s="7" t="s">
        <v>17</v>
      </c>
      <c r="E423" s="6" t="s">
        <v>18</v>
      </c>
      <c r="F423" s="4" t="s">
        <v>19</v>
      </c>
    </row>
    <row r="424" customFormat="false" ht="26.85" hidden="false" customHeight="false" outlineLevel="0" collapsed="false">
      <c r="A424" s="3" t="s">
        <v>70</v>
      </c>
      <c r="B424" s="3" t="s">
        <v>392</v>
      </c>
      <c r="C424" s="4" t="s">
        <v>395</v>
      </c>
      <c r="D424" s="7" t="s">
        <v>17</v>
      </c>
      <c r="E424" s="6" t="s">
        <v>18</v>
      </c>
      <c r="F424" s="4" t="s">
        <v>19</v>
      </c>
    </row>
    <row r="425" customFormat="false" ht="26.85" hidden="false" customHeight="false" outlineLevel="0" collapsed="false">
      <c r="A425" s="3" t="s">
        <v>70</v>
      </c>
      <c r="B425" s="3" t="s">
        <v>42</v>
      </c>
      <c r="C425" s="4" t="s">
        <v>43</v>
      </c>
      <c r="D425" s="7" t="s">
        <v>17</v>
      </c>
      <c r="E425" s="6" t="s">
        <v>18</v>
      </c>
      <c r="F425" s="4" t="s">
        <v>19</v>
      </c>
    </row>
    <row r="426" customFormat="false" ht="26.85" hidden="false" customHeight="false" outlineLevel="0" collapsed="false">
      <c r="A426" s="3" t="s">
        <v>70</v>
      </c>
      <c r="B426" s="3" t="s">
        <v>42</v>
      </c>
      <c r="C426" s="4" t="s">
        <v>44</v>
      </c>
      <c r="D426" s="7" t="s">
        <v>17</v>
      </c>
      <c r="E426" s="6" t="s">
        <v>18</v>
      </c>
      <c r="F426" s="4" t="s">
        <v>19</v>
      </c>
    </row>
    <row r="427" customFormat="false" ht="26.85" hidden="false" customHeight="false" outlineLevel="0" collapsed="false">
      <c r="A427" s="3" t="s">
        <v>70</v>
      </c>
      <c r="B427" s="3" t="s">
        <v>42</v>
      </c>
      <c r="C427" s="4" t="s">
        <v>45</v>
      </c>
      <c r="D427" s="5" t="s">
        <v>10</v>
      </c>
      <c r="E427" s="6" t="s">
        <v>11</v>
      </c>
      <c r="F427" s="4" t="s">
        <v>15</v>
      </c>
    </row>
    <row r="428" customFormat="false" ht="26.85" hidden="false" customHeight="false" outlineLevel="0" collapsed="false">
      <c r="A428" s="3" t="s">
        <v>70</v>
      </c>
      <c r="B428" s="3" t="s">
        <v>8</v>
      </c>
      <c r="C428" s="4" t="s">
        <v>9</v>
      </c>
      <c r="D428" s="5" t="s">
        <v>10</v>
      </c>
      <c r="E428" s="6" t="s">
        <v>11</v>
      </c>
      <c r="F428" s="4" t="s">
        <v>12</v>
      </c>
    </row>
    <row r="429" customFormat="false" ht="26.85" hidden="false" customHeight="false" outlineLevel="0" collapsed="false">
      <c r="A429" s="3" t="s">
        <v>70</v>
      </c>
      <c r="B429" s="3" t="s">
        <v>8</v>
      </c>
      <c r="C429" s="4" t="s">
        <v>13</v>
      </c>
      <c r="D429" s="5" t="s">
        <v>10</v>
      </c>
      <c r="E429" s="6" t="s">
        <v>11</v>
      </c>
      <c r="F429" s="4" t="s">
        <v>12</v>
      </c>
    </row>
    <row r="430" customFormat="false" ht="26.85" hidden="false" customHeight="false" outlineLevel="0" collapsed="false">
      <c r="A430" s="3" t="s">
        <v>70</v>
      </c>
      <c r="B430" s="3" t="s">
        <v>8</v>
      </c>
      <c r="C430" s="4" t="s">
        <v>14</v>
      </c>
      <c r="D430" s="5" t="s">
        <v>10</v>
      </c>
      <c r="E430" s="6" t="s">
        <v>11</v>
      </c>
      <c r="F430" s="4" t="s">
        <v>15</v>
      </c>
    </row>
    <row r="431" customFormat="false" ht="39.55" hidden="false" customHeight="false" outlineLevel="0" collapsed="false">
      <c r="A431" s="3" t="s">
        <v>70</v>
      </c>
      <c r="B431" s="3" t="s">
        <v>8</v>
      </c>
      <c r="C431" s="4" t="s">
        <v>16</v>
      </c>
      <c r="D431" s="7" t="s">
        <v>17</v>
      </c>
      <c r="E431" s="6" t="s">
        <v>18</v>
      </c>
      <c r="F431" s="4" t="s">
        <v>19</v>
      </c>
    </row>
    <row r="432" customFormat="false" ht="26.85" hidden="false" customHeight="false" outlineLevel="0" collapsed="false">
      <c r="A432" s="3" t="s">
        <v>7</v>
      </c>
      <c r="B432" s="3" t="s">
        <v>396</v>
      </c>
      <c r="C432" s="4" t="s">
        <v>397</v>
      </c>
      <c r="D432" s="5" t="s">
        <v>10</v>
      </c>
      <c r="E432" s="6" t="s">
        <v>11</v>
      </c>
      <c r="F432" s="4" t="s">
        <v>25</v>
      </c>
    </row>
    <row r="433" customFormat="false" ht="26.85" hidden="false" customHeight="false" outlineLevel="0" collapsed="false">
      <c r="A433" s="3" t="s">
        <v>7</v>
      </c>
      <c r="B433" s="3" t="s">
        <v>396</v>
      </c>
      <c r="C433" s="4" t="s">
        <v>398</v>
      </c>
      <c r="D433" s="5" t="s">
        <v>10</v>
      </c>
      <c r="E433" s="6" t="s">
        <v>11</v>
      </c>
      <c r="F433" s="4" t="s">
        <v>85</v>
      </c>
    </row>
    <row r="434" customFormat="false" ht="26.85" hidden="false" customHeight="false" outlineLevel="0" collapsed="false">
      <c r="A434" s="3" t="s">
        <v>7</v>
      </c>
      <c r="B434" s="3" t="s">
        <v>396</v>
      </c>
      <c r="C434" s="4" t="s">
        <v>399</v>
      </c>
      <c r="D434" s="5" t="s">
        <v>10</v>
      </c>
      <c r="E434" s="6" t="s">
        <v>11</v>
      </c>
      <c r="F434" s="4" t="s">
        <v>85</v>
      </c>
    </row>
    <row r="435" customFormat="false" ht="26.85" hidden="false" customHeight="false" outlineLevel="0" collapsed="false">
      <c r="A435" s="3" t="s">
        <v>7</v>
      </c>
      <c r="B435" s="3" t="s">
        <v>396</v>
      </c>
      <c r="C435" s="4" t="s">
        <v>400</v>
      </c>
      <c r="D435" s="7" t="s">
        <v>17</v>
      </c>
      <c r="E435" s="6" t="s">
        <v>18</v>
      </c>
      <c r="F435" s="4" t="s">
        <v>19</v>
      </c>
    </row>
    <row r="436" customFormat="false" ht="26.85" hidden="false" customHeight="false" outlineLevel="0" collapsed="false">
      <c r="A436" s="3" t="s">
        <v>7</v>
      </c>
      <c r="B436" s="3" t="s">
        <v>396</v>
      </c>
      <c r="C436" s="4" t="s">
        <v>401</v>
      </c>
      <c r="D436" s="5" t="s">
        <v>10</v>
      </c>
      <c r="E436" s="6" t="s">
        <v>11</v>
      </c>
      <c r="F436" s="4" t="s">
        <v>37</v>
      </c>
    </row>
    <row r="437" customFormat="false" ht="26.85" hidden="false" customHeight="false" outlineLevel="0" collapsed="false">
      <c r="A437" s="3" t="s">
        <v>7</v>
      </c>
      <c r="B437" s="3" t="s">
        <v>396</v>
      </c>
      <c r="C437" s="4" t="s">
        <v>402</v>
      </c>
      <c r="D437" s="5" t="s">
        <v>10</v>
      </c>
      <c r="E437" s="6" t="s">
        <v>11</v>
      </c>
      <c r="F437" s="4" t="s">
        <v>85</v>
      </c>
    </row>
    <row r="438" customFormat="false" ht="26.85" hidden="false" customHeight="false" outlineLevel="0" collapsed="false">
      <c r="A438" s="3" t="s">
        <v>70</v>
      </c>
      <c r="B438" s="3" t="s">
        <v>403</v>
      </c>
      <c r="C438" s="4" t="s">
        <v>404</v>
      </c>
      <c r="D438" s="7" t="s">
        <v>17</v>
      </c>
      <c r="E438" s="6" t="s">
        <v>18</v>
      </c>
      <c r="F438" s="4" t="s">
        <v>19</v>
      </c>
    </row>
    <row r="439" customFormat="false" ht="26.85" hidden="false" customHeight="false" outlineLevel="0" collapsed="false">
      <c r="A439" s="3" t="s">
        <v>70</v>
      </c>
      <c r="B439" s="3" t="s">
        <v>403</v>
      </c>
      <c r="C439" s="4" t="s">
        <v>405</v>
      </c>
      <c r="D439" s="7" t="s">
        <v>17</v>
      </c>
      <c r="E439" s="6" t="s">
        <v>18</v>
      </c>
      <c r="F439" s="4" t="s">
        <v>19</v>
      </c>
    </row>
    <row r="440" customFormat="false" ht="26.85" hidden="false" customHeight="false" outlineLevel="0" collapsed="false">
      <c r="A440" s="3" t="s">
        <v>70</v>
      </c>
      <c r="B440" s="3" t="s">
        <v>403</v>
      </c>
      <c r="C440" s="4" t="s">
        <v>406</v>
      </c>
      <c r="D440" s="5" t="s">
        <v>10</v>
      </c>
      <c r="E440" s="6" t="s">
        <v>11</v>
      </c>
      <c r="F440" s="4" t="s">
        <v>85</v>
      </c>
    </row>
    <row r="441" customFormat="false" ht="26.85" hidden="false" customHeight="false" outlineLevel="0" collapsed="false">
      <c r="A441" s="3" t="s">
        <v>70</v>
      </c>
      <c r="B441" s="3" t="s">
        <v>403</v>
      </c>
      <c r="C441" s="4" t="s">
        <v>407</v>
      </c>
      <c r="D441" s="7" t="s">
        <v>17</v>
      </c>
      <c r="E441" s="6" t="s">
        <v>18</v>
      </c>
      <c r="F441" s="4" t="s">
        <v>19</v>
      </c>
    </row>
    <row r="442" customFormat="false" ht="26.85" hidden="false" customHeight="false" outlineLevel="0" collapsed="false">
      <c r="A442" s="3" t="s">
        <v>316</v>
      </c>
      <c r="B442" s="3" t="s">
        <v>408</v>
      </c>
      <c r="C442" s="4" t="s">
        <v>409</v>
      </c>
      <c r="D442" s="5" t="s">
        <v>10</v>
      </c>
      <c r="E442" s="6" t="s">
        <v>11</v>
      </c>
      <c r="F442" s="4" t="s">
        <v>23</v>
      </c>
    </row>
    <row r="443" customFormat="false" ht="26.85" hidden="false" customHeight="false" outlineLevel="0" collapsed="false">
      <c r="A443" s="3" t="s">
        <v>7</v>
      </c>
      <c r="B443" s="3" t="s">
        <v>410</v>
      </c>
      <c r="C443" s="4" t="s">
        <v>411</v>
      </c>
      <c r="D443" s="7" t="s">
        <v>17</v>
      </c>
      <c r="E443" s="6" t="s">
        <v>18</v>
      </c>
      <c r="F443" s="4" t="s">
        <v>19</v>
      </c>
    </row>
    <row r="444" customFormat="false" ht="26.85" hidden="false" customHeight="false" outlineLevel="0" collapsed="false">
      <c r="A444" s="3" t="s">
        <v>7</v>
      </c>
      <c r="B444" s="3" t="s">
        <v>410</v>
      </c>
      <c r="C444" s="4" t="s">
        <v>412</v>
      </c>
      <c r="D444" s="7" t="s">
        <v>17</v>
      </c>
      <c r="E444" s="6" t="s">
        <v>18</v>
      </c>
      <c r="F444" s="4" t="s">
        <v>19</v>
      </c>
    </row>
    <row r="445" customFormat="false" ht="26.85" hidden="false" customHeight="false" outlineLevel="0" collapsed="false">
      <c r="A445" s="3" t="s">
        <v>7</v>
      </c>
      <c r="B445" s="3" t="s">
        <v>410</v>
      </c>
      <c r="C445" s="4" t="s">
        <v>413</v>
      </c>
      <c r="D445" s="5" t="s">
        <v>10</v>
      </c>
      <c r="E445" s="6" t="s">
        <v>11</v>
      </c>
      <c r="F445" s="4" t="s">
        <v>85</v>
      </c>
    </row>
    <row r="446" customFormat="false" ht="26.85" hidden="false" customHeight="false" outlineLevel="0" collapsed="false">
      <c r="A446" s="3" t="s">
        <v>70</v>
      </c>
      <c r="B446" s="3" t="s">
        <v>181</v>
      </c>
      <c r="C446" s="4" t="s">
        <v>414</v>
      </c>
      <c r="D446" s="5" t="s">
        <v>10</v>
      </c>
      <c r="E446" s="6" t="s">
        <v>11</v>
      </c>
      <c r="F446" s="4" t="s">
        <v>415</v>
      </c>
    </row>
    <row r="447" customFormat="false" ht="26.85" hidden="false" customHeight="false" outlineLevel="0" collapsed="false">
      <c r="A447" s="3" t="s">
        <v>70</v>
      </c>
      <c r="B447" s="3" t="s">
        <v>181</v>
      </c>
      <c r="C447" s="4" t="s">
        <v>416</v>
      </c>
      <c r="D447" s="7" t="s">
        <v>17</v>
      </c>
      <c r="E447" s="6" t="s">
        <v>18</v>
      </c>
      <c r="F447" s="4" t="s">
        <v>19</v>
      </c>
    </row>
    <row r="448" customFormat="false" ht="26.85" hidden="false" customHeight="false" outlineLevel="0" collapsed="false">
      <c r="A448" s="3" t="s">
        <v>70</v>
      </c>
      <c r="B448" s="3" t="s">
        <v>181</v>
      </c>
      <c r="C448" s="4" t="s">
        <v>417</v>
      </c>
      <c r="D448" s="7" t="s">
        <v>17</v>
      </c>
      <c r="E448" s="6" t="s">
        <v>18</v>
      </c>
      <c r="F448" s="4" t="s">
        <v>19</v>
      </c>
    </row>
    <row r="449" customFormat="false" ht="26.85" hidden="false" customHeight="false" outlineLevel="0" collapsed="false">
      <c r="A449" s="3" t="s">
        <v>70</v>
      </c>
      <c r="B449" s="3" t="s">
        <v>181</v>
      </c>
      <c r="C449" s="4" t="s">
        <v>418</v>
      </c>
      <c r="D449" s="5" t="s">
        <v>10</v>
      </c>
      <c r="E449" s="6" t="s">
        <v>11</v>
      </c>
      <c r="F449" s="4" t="s">
        <v>81</v>
      </c>
    </row>
    <row r="450" customFormat="false" ht="26.85" hidden="false" customHeight="false" outlineLevel="0" collapsed="false">
      <c r="A450" s="3" t="s">
        <v>70</v>
      </c>
      <c r="B450" s="3" t="s">
        <v>21</v>
      </c>
      <c r="C450" s="4" t="s">
        <v>22</v>
      </c>
      <c r="D450" s="5" t="s">
        <v>10</v>
      </c>
      <c r="E450" s="6" t="s">
        <v>11</v>
      </c>
      <c r="F450" s="4" t="s">
        <v>23</v>
      </c>
    </row>
    <row r="451" customFormat="false" ht="26.85" hidden="false" customHeight="false" outlineLevel="0" collapsed="false">
      <c r="A451" s="3" t="s">
        <v>70</v>
      </c>
      <c r="B451" s="3" t="s">
        <v>21</v>
      </c>
      <c r="C451" s="4" t="s">
        <v>24</v>
      </c>
      <c r="D451" s="5" t="s">
        <v>10</v>
      </c>
      <c r="E451" s="6" t="s">
        <v>11</v>
      </c>
      <c r="F451" s="4" t="s">
        <v>25</v>
      </c>
    </row>
    <row r="452" customFormat="false" ht="26.85" hidden="false" customHeight="false" outlineLevel="0" collapsed="false">
      <c r="A452" s="3" t="s">
        <v>70</v>
      </c>
      <c r="B452" s="3" t="s">
        <v>21</v>
      </c>
      <c r="C452" s="4" t="s">
        <v>26</v>
      </c>
      <c r="D452" s="5" t="s">
        <v>10</v>
      </c>
      <c r="E452" s="6" t="s">
        <v>11</v>
      </c>
      <c r="F452" s="4" t="s">
        <v>23</v>
      </c>
    </row>
    <row r="453" customFormat="false" ht="26.85" hidden="false" customHeight="false" outlineLevel="0" collapsed="false">
      <c r="A453" s="3" t="s">
        <v>70</v>
      </c>
      <c r="B453" s="3" t="s">
        <v>21</v>
      </c>
      <c r="C453" s="4" t="s">
        <v>27</v>
      </c>
      <c r="D453" s="5" t="s">
        <v>10</v>
      </c>
      <c r="E453" s="6" t="s">
        <v>11</v>
      </c>
      <c r="F453" s="4" t="s">
        <v>25</v>
      </c>
    </row>
    <row r="454" customFormat="false" ht="26.85" hidden="false" customHeight="false" outlineLevel="0" collapsed="false">
      <c r="A454" s="3" t="s">
        <v>70</v>
      </c>
      <c r="B454" s="3" t="s">
        <v>21</v>
      </c>
      <c r="C454" s="4" t="s">
        <v>28</v>
      </c>
      <c r="D454" s="7" t="s">
        <v>17</v>
      </c>
      <c r="E454" s="6" t="s">
        <v>18</v>
      </c>
      <c r="F454" s="4" t="s">
        <v>19</v>
      </c>
    </row>
    <row r="455" customFormat="false" ht="26.85" hidden="false" customHeight="false" outlineLevel="0" collapsed="false">
      <c r="A455" s="3" t="s">
        <v>7</v>
      </c>
      <c r="B455" s="3" t="s">
        <v>419</v>
      </c>
      <c r="C455" s="4" t="s">
        <v>420</v>
      </c>
      <c r="D455" s="7" t="s">
        <v>17</v>
      </c>
      <c r="E455" s="6" t="s">
        <v>18</v>
      </c>
      <c r="F455" s="4" t="s">
        <v>19</v>
      </c>
    </row>
    <row r="456" customFormat="false" ht="26.85" hidden="false" customHeight="false" outlineLevel="0" collapsed="false">
      <c r="A456" s="3" t="s">
        <v>7</v>
      </c>
      <c r="B456" s="3" t="s">
        <v>419</v>
      </c>
      <c r="C456" s="4" t="s">
        <v>421</v>
      </c>
      <c r="D456" s="5" t="s">
        <v>10</v>
      </c>
      <c r="E456" s="6" t="s">
        <v>11</v>
      </c>
      <c r="F456" s="4" t="s">
        <v>12</v>
      </c>
    </row>
    <row r="457" customFormat="false" ht="26.85" hidden="false" customHeight="false" outlineLevel="0" collapsed="false">
      <c r="A457" s="3" t="s">
        <v>7</v>
      </c>
      <c r="B457" s="3" t="s">
        <v>419</v>
      </c>
      <c r="C457" s="4" t="s">
        <v>422</v>
      </c>
      <c r="D457" s="7" t="s">
        <v>17</v>
      </c>
      <c r="E457" s="6" t="s">
        <v>18</v>
      </c>
      <c r="F457" s="4" t="s">
        <v>19</v>
      </c>
    </row>
    <row r="458" customFormat="false" ht="26.85" hidden="false" customHeight="false" outlineLevel="0" collapsed="false">
      <c r="A458" s="3" t="s">
        <v>7</v>
      </c>
      <c r="B458" s="3" t="s">
        <v>419</v>
      </c>
      <c r="C458" s="4" t="s">
        <v>423</v>
      </c>
      <c r="D458" s="7" t="s">
        <v>17</v>
      </c>
      <c r="E458" s="6" t="s">
        <v>18</v>
      </c>
      <c r="F458" s="4" t="s">
        <v>19</v>
      </c>
    </row>
    <row r="459" customFormat="false" ht="26.85" hidden="false" customHeight="false" outlineLevel="0" collapsed="false">
      <c r="A459" s="3" t="s">
        <v>70</v>
      </c>
      <c r="B459" s="3" t="s">
        <v>424</v>
      </c>
      <c r="C459" s="4" t="s">
        <v>425</v>
      </c>
      <c r="D459" s="7" t="s">
        <v>17</v>
      </c>
      <c r="E459" s="6" t="s">
        <v>18</v>
      </c>
      <c r="F459" s="4" t="s">
        <v>19</v>
      </c>
    </row>
    <row r="460" customFormat="false" ht="26.85" hidden="false" customHeight="false" outlineLevel="0" collapsed="false">
      <c r="A460" s="3" t="s">
        <v>70</v>
      </c>
      <c r="B460" s="3" t="s">
        <v>424</v>
      </c>
      <c r="C460" s="4" t="s">
        <v>426</v>
      </c>
      <c r="D460" s="7" t="s">
        <v>17</v>
      </c>
      <c r="E460" s="6" t="s">
        <v>18</v>
      </c>
      <c r="F460" s="4" t="s">
        <v>19</v>
      </c>
    </row>
    <row r="461" customFormat="false" ht="26.85" hidden="false" customHeight="false" outlineLevel="0" collapsed="false">
      <c r="A461" s="3" t="s">
        <v>70</v>
      </c>
      <c r="B461" s="3" t="s">
        <v>424</v>
      </c>
      <c r="C461" s="4" t="s">
        <v>427</v>
      </c>
      <c r="D461" s="7" t="s">
        <v>17</v>
      </c>
      <c r="E461" s="6" t="s">
        <v>18</v>
      </c>
      <c r="F461" s="4" t="s">
        <v>19</v>
      </c>
    </row>
    <row r="462" customFormat="false" ht="26.85" hidden="false" customHeight="false" outlineLevel="0" collapsed="false">
      <c r="A462" s="3" t="s">
        <v>70</v>
      </c>
      <c r="B462" s="3" t="s">
        <v>428</v>
      </c>
      <c r="C462" s="4" t="s">
        <v>429</v>
      </c>
      <c r="D462" s="7" t="s">
        <v>17</v>
      </c>
      <c r="E462" s="6" t="s">
        <v>18</v>
      </c>
      <c r="F462" s="4" t="s">
        <v>19</v>
      </c>
    </row>
    <row r="463" customFormat="false" ht="26.85" hidden="false" customHeight="false" outlineLevel="0" collapsed="false">
      <c r="A463" s="3" t="s">
        <v>70</v>
      </c>
      <c r="B463" s="3" t="s">
        <v>428</v>
      </c>
      <c r="C463" s="4" t="s">
        <v>430</v>
      </c>
      <c r="D463" s="7" t="s">
        <v>17</v>
      </c>
      <c r="E463" s="6" t="s">
        <v>18</v>
      </c>
      <c r="F463" s="4" t="s">
        <v>19</v>
      </c>
    </row>
    <row r="464" customFormat="false" ht="26.85" hidden="false" customHeight="false" outlineLevel="0" collapsed="false">
      <c r="A464" s="3" t="s">
        <v>70</v>
      </c>
      <c r="B464" s="3" t="s">
        <v>428</v>
      </c>
      <c r="C464" s="4" t="s">
        <v>431</v>
      </c>
      <c r="D464" s="7" t="s">
        <v>17</v>
      </c>
      <c r="E464" s="6" t="s">
        <v>18</v>
      </c>
      <c r="F464" s="4" t="s">
        <v>19</v>
      </c>
    </row>
    <row r="465" customFormat="false" ht="26.85" hidden="false" customHeight="false" outlineLevel="0" collapsed="false">
      <c r="A465" s="3" t="s">
        <v>70</v>
      </c>
      <c r="B465" s="3" t="s">
        <v>432</v>
      </c>
      <c r="C465" s="4" t="s">
        <v>433</v>
      </c>
      <c r="D465" s="7" t="s">
        <v>17</v>
      </c>
      <c r="E465" s="6" t="s">
        <v>18</v>
      </c>
      <c r="F465" s="4" t="s">
        <v>19</v>
      </c>
    </row>
    <row r="466" customFormat="false" ht="26.85" hidden="false" customHeight="false" outlineLevel="0" collapsed="false">
      <c r="A466" s="3" t="s">
        <v>70</v>
      </c>
      <c r="B466" s="3" t="s">
        <v>432</v>
      </c>
      <c r="C466" s="4" t="s">
        <v>434</v>
      </c>
      <c r="D466" s="7" t="s">
        <v>17</v>
      </c>
      <c r="E466" s="6" t="s">
        <v>18</v>
      </c>
      <c r="F466" s="4" t="s">
        <v>19</v>
      </c>
    </row>
    <row r="467" customFormat="false" ht="26.85" hidden="false" customHeight="false" outlineLevel="0" collapsed="false">
      <c r="A467" s="3" t="s">
        <v>70</v>
      </c>
      <c r="B467" s="3" t="s">
        <v>432</v>
      </c>
      <c r="C467" s="4" t="s">
        <v>435</v>
      </c>
      <c r="D467" s="5" t="s">
        <v>10</v>
      </c>
      <c r="E467" s="6" t="s">
        <v>11</v>
      </c>
      <c r="F467" s="4" t="s">
        <v>33</v>
      </c>
    </row>
    <row r="468" customFormat="false" ht="39.55" hidden="false" customHeight="false" outlineLevel="0" collapsed="false">
      <c r="A468" s="3" t="s">
        <v>70</v>
      </c>
      <c r="B468" s="3" t="s">
        <v>432</v>
      </c>
      <c r="C468" s="4" t="s">
        <v>436</v>
      </c>
      <c r="D468" s="7" t="s">
        <v>17</v>
      </c>
      <c r="E468" s="6" t="s">
        <v>18</v>
      </c>
      <c r="F468" s="4" t="s">
        <v>19</v>
      </c>
    </row>
    <row r="469" customFormat="false" ht="26.85" hidden="false" customHeight="false" outlineLevel="0" collapsed="false">
      <c r="A469" s="3" t="s">
        <v>70</v>
      </c>
      <c r="B469" s="3" t="s">
        <v>432</v>
      </c>
      <c r="C469" s="4" t="s">
        <v>437</v>
      </c>
      <c r="D469" s="7" t="s">
        <v>17</v>
      </c>
      <c r="E469" s="6" t="s">
        <v>18</v>
      </c>
      <c r="F469" s="4" t="s">
        <v>19</v>
      </c>
    </row>
    <row r="470" customFormat="false" ht="26.85" hidden="false" customHeight="false" outlineLevel="0" collapsed="false">
      <c r="A470" s="3" t="s">
        <v>70</v>
      </c>
      <c r="B470" s="3" t="s">
        <v>432</v>
      </c>
      <c r="C470" s="4" t="s">
        <v>438</v>
      </c>
      <c r="D470" s="7" t="s">
        <v>17</v>
      </c>
      <c r="E470" s="6" t="s">
        <v>18</v>
      </c>
      <c r="F470" s="4" t="s">
        <v>19</v>
      </c>
    </row>
    <row r="471" customFormat="false" ht="26.85" hidden="false" customHeight="false" outlineLevel="0" collapsed="false">
      <c r="A471" s="3" t="s">
        <v>70</v>
      </c>
      <c r="B471" s="3" t="s">
        <v>432</v>
      </c>
      <c r="C471" s="4" t="s">
        <v>439</v>
      </c>
      <c r="D471" s="5" t="s">
        <v>10</v>
      </c>
      <c r="E471" s="6" t="s">
        <v>11</v>
      </c>
      <c r="F471" s="4" t="s">
        <v>119</v>
      </c>
    </row>
    <row r="472" customFormat="false" ht="26.85" hidden="false" customHeight="false" outlineLevel="0" collapsed="false">
      <c r="A472" s="3" t="s">
        <v>7</v>
      </c>
      <c r="B472" s="3" t="s">
        <v>440</v>
      </c>
      <c r="C472" s="4" t="s">
        <v>441</v>
      </c>
      <c r="D472" s="7" t="s">
        <v>17</v>
      </c>
      <c r="E472" s="6" t="s">
        <v>18</v>
      </c>
      <c r="F472" s="4" t="s">
        <v>19</v>
      </c>
    </row>
    <row r="473" customFormat="false" ht="26.85" hidden="false" customHeight="false" outlineLevel="0" collapsed="false">
      <c r="A473" s="3" t="s">
        <v>7</v>
      </c>
      <c r="B473" s="3" t="s">
        <v>440</v>
      </c>
      <c r="C473" s="4" t="s">
        <v>442</v>
      </c>
      <c r="D473" s="5" t="s">
        <v>10</v>
      </c>
      <c r="E473" s="6" t="s">
        <v>11</v>
      </c>
      <c r="F473" s="4" t="s">
        <v>213</v>
      </c>
    </row>
    <row r="474" customFormat="false" ht="26.85" hidden="false" customHeight="false" outlineLevel="0" collapsed="false">
      <c r="A474" s="3" t="s">
        <v>7</v>
      </c>
      <c r="B474" s="3" t="s">
        <v>440</v>
      </c>
      <c r="C474" s="4" t="s">
        <v>443</v>
      </c>
      <c r="D474" s="7" t="s">
        <v>17</v>
      </c>
      <c r="E474" s="6" t="s">
        <v>18</v>
      </c>
      <c r="F474" s="4" t="s">
        <v>19</v>
      </c>
    </row>
    <row r="475" customFormat="false" ht="26.85" hidden="false" customHeight="false" outlineLevel="0" collapsed="false">
      <c r="A475" s="3" t="s">
        <v>70</v>
      </c>
      <c r="B475" s="3" t="s">
        <v>444</v>
      </c>
      <c r="C475" s="4" t="s">
        <v>445</v>
      </c>
      <c r="D475" s="7" t="s">
        <v>17</v>
      </c>
      <c r="E475" s="6" t="s">
        <v>18</v>
      </c>
      <c r="F475" s="4" t="s">
        <v>19</v>
      </c>
    </row>
    <row r="476" customFormat="false" ht="26.85" hidden="false" customHeight="false" outlineLevel="0" collapsed="false">
      <c r="A476" s="3" t="s">
        <v>70</v>
      </c>
      <c r="B476" s="3" t="s">
        <v>444</v>
      </c>
      <c r="C476" s="4" t="s">
        <v>446</v>
      </c>
      <c r="D476" s="5" t="s">
        <v>10</v>
      </c>
      <c r="E476" s="6" t="s">
        <v>11</v>
      </c>
      <c r="F476" s="4" t="s">
        <v>81</v>
      </c>
    </row>
    <row r="477" customFormat="false" ht="52.2" hidden="false" customHeight="false" outlineLevel="0" collapsed="false">
      <c r="A477" s="3" t="s">
        <v>70</v>
      </c>
      <c r="B477" s="3" t="s">
        <v>444</v>
      </c>
      <c r="C477" s="4" t="s">
        <v>447</v>
      </c>
      <c r="D477" s="7" t="s">
        <v>17</v>
      </c>
      <c r="E477" s="6" t="s">
        <v>18</v>
      </c>
      <c r="F477" s="4" t="s">
        <v>19</v>
      </c>
    </row>
    <row r="478" customFormat="false" ht="26.85" hidden="false" customHeight="false" outlineLevel="0" collapsed="false">
      <c r="A478" s="3" t="s">
        <v>70</v>
      </c>
      <c r="B478" s="3" t="s">
        <v>444</v>
      </c>
      <c r="C478" s="4" t="s">
        <v>448</v>
      </c>
      <c r="D478" s="7" t="s">
        <v>17</v>
      </c>
      <c r="E478" s="6" t="s">
        <v>18</v>
      </c>
      <c r="F478" s="4" t="s">
        <v>19</v>
      </c>
    </row>
    <row r="479" customFormat="false" ht="26.85" hidden="false" customHeight="false" outlineLevel="0" collapsed="false">
      <c r="A479" s="3" t="s">
        <v>70</v>
      </c>
      <c r="B479" s="3" t="s">
        <v>444</v>
      </c>
      <c r="C479" s="4" t="s">
        <v>449</v>
      </c>
      <c r="D479" s="7" t="s">
        <v>17</v>
      </c>
      <c r="E479" s="6" t="s">
        <v>18</v>
      </c>
      <c r="F479" s="4" t="s">
        <v>19</v>
      </c>
    </row>
    <row r="480" customFormat="false" ht="26.85" hidden="false" customHeight="false" outlineLevel="0" collapsed="false">
      <c r="A480" s="3" t="s">
        <v>78</v>
      </c>
      <c r="B480" s="3" t="s">
        <v>71</v>
      </c>
      <c r="C480" s="4" t="s">
        <v>450</v>
      </c>
      <c r="D480" s="7" t="s">
        <v>17</v>
      </c>
      <c r="E480" s="6" t="s">
        <v>18</v>
      </c>
      <c r="F480" s="4" t="s">
        <v>19</v>
      </c>
    </row>
    <row r="481" customFormat="false" ht="26.85" hidden="false" customHeight="false" outlineLevel="0" collapsed="false">
      <c r="A481" s="3" t="s">
        <v>78</v>
      </c>
      <c r="B481" s="3" t="s">
        <v>71</v>
      </c>
      <c r="C481" s="4" t="s">
        <v>451</v>
      </c>
      <c r="D481" s="7" t="s">
        <v>17</v>
      </c>
      <c r="E481" s="6" t="s">
        <v>18</v>
      </c>
      <c r="F481" s="4" t="s">
        <v>19</v>
      </c>
    </row>
    <row r="482" customFormat="false" ht="26.85" hidden="false" customHeight="false" outlineLevel="0" collapsed="false">
      <c r="A482" s="3" t="s">
        <v>78</v>
      </c>
      <c r="B482" s="3" t="s">
        <v>71</v>
      </c>
      <c r="C482" s="4" t="s">
        <v>452</v>
      </c>
      <c r="D482" s="7" t="s">
        <v>17</v>
      </c>
      <c r="E482" s="6" t="s">
        <v>18</v>
      </c>
      <c r="F482" s="4" t="s">
        <v>19</v>
      </c>
    </row>
    <row r="483" customFormat="false" ht="26.85" hidden="false" customHeight="false" outlineLevel="0" collapsed="false">
      <c r="A483" s="3" t="s">
        <v>71</v>
      </c>
      <c r="B483" s="3" t="s">
        <v>453</v>
      </c>
      <c r="C483" s="4" t="s">
        <v>454</v>
      </c>
      <c r="D483" s="7" t="s">
        <v>17</v>
      </c>
      <c r="E483" s="6" t="s">
        <v>18</v>
      </c>
      <c r="F483" s="4" t="s">
        <v>19</v>
      </c>
    </row>
    <row r="484" customFormat="false" ht="26.85" hidden="false" customHeight="false" outlineLevel="0" collapsed="false">
      <c r="A484" s="3" t="s">
        <v>71</v>
      </c>
      <c r="B484" s="3" t="s">
        <v>453</v>
      </c>
      <c r="C484" s="4" t="s">
        <v>455</v>
      </c>
      <c r="D484" s="7" t="s">
        <v>17</v>
      </c>
      <c r="E484" s="6" t="s">
        <v>18</v>
      </c>
      <c r="F484" s="4" t="s">
        <v>19</v>
      </c>
    </row>
    <row r="485" customFormat="false" ht="26.85" hidden="false" customHeight="false" outlineLevel="0" collapsed="false">
      <c r="A485" s="3" t="s">
        <v>71</v>
      </c>
      <c r="B485" s="3" t="s">
        <v>453</v>
      </c>
      <c r="C485" s="4" t="s">
        <v>456</v>
      </c>
      <c r="D485" s="7" t="s">
        <v>17</v>
      </c>
      <c r="E485" s="6" t="s">
        <v>18</v>
      </c>
      <c r="F485" s="4" t="s">
        <v>19</v>
      </c>
    </row>
    <row r="486" customFormat="false" ht="26.85" hidden="false" customHeight="false" outlineLevel="0" collapsed="false">
      <c r="A486" s="3" t="s">
        <v>71</v>
      </c>
      <c r="B486" s="3" t="s">
        <v>453</v>
      </c>
      <c r="C486" s="4" t="s">
        <v>457</v>
      </c>
      <c r="D486" s="7" t="s">
        <v>17</v>
      </c>
      <c r="E486" s="6" t="s">
        <v>18</v>
      </c>
      <c r="F486" s="4" t="s">
        <v>19</v>
      </c>
    </row>
    <row r="487" customFormat="false" ht="26.85" hidden="false" customHeight="false" outlineLevel="0" collapsed="false">
      <c r="A487" s="3" t="s">
        <v>71</v>
      </c>
      <c r="B487" s="3" t="s">
        <v>453</v>
      </c>
      <c r="C487" s="4" t="s">
        <v>458</v>
      </c>
      <c r="D487" s="5" t="s">
        <v>10</v>
      </c>
      <c r="E487" s="6" t="s">
        <v>11</v>
      </c>
      <c r="F487" s="4" t="s">
        <v>459</v>
      </c>
    </row>
    <row r="488" customFormat="false" ht="26.85" hidden="false" customHeight="false" outlineLevel="0" collapsed="false">
      <c r="A488" s="3" t="s">
        <v>71</v>
      </c>
      <c r="B488" s="3" t="s">
        <v>460</v>
      </c>
      <c r="C488" s="4" t="s">
        <v>461</v>
      </c>
      <c r="D488" s="5" t="s">
        <v>10</v>
      </c>
      <c r="E488" s="6" t="s">
        <v>11</v>
      </c>
      <c r="F488" s="4" t="s">
        <v>33</v>
      </c>
    </row>
    <row r="489" customFormat="false" ht="26.85" hidden="false" customHeight="false" outlineLevel="0" collapsed="false">
      <c r="A489" s="3" t="s">
        <v>71</v>
      </c>
      <c r="B489" s="3" t="s">
        <v>460</v>
      </c>
      <c r="C489" s="4" t="s">
        <v>462</v>
      </c>
      <c r="D489" s="7" t="s">
        <v>17</v>
      </c>
      <c r="E489" s="6" t="s">
        <v>18</v>
      </c>
      <c r="F489" s="4" t="s">
        <v>19</v>
      </c>
    </row>
    <row r="490" customFormat="false" ht="26.85" hidden="false" customHeight="false" outlineLevel="0" collapsed="false">
      <c r="A490" s="3" t="s">
        <v>71</v>
      </c>
      <c r="B490" s="3" t="s">
        <v>460</v>
      </c>
      <c r="C490" s="4" t="s">
        <v>463</v>
      </c>
      <c r="D490" s="7" t="s">
        <v>17</v>
      </c>
      <c r="E490" s="6" t="s">
        <v>18</v>
      </c>
      <c r="F490" s="4" t="s">
        <v>19</v>
      </c>
    </row>
    <row r="491" customFormat="false" ht="26.85" hidden="false" customHeight="false" outlineLevel="0" collapsed="false">
      <c r="A491" s="3" t="s">
        <v>71</v>
      </c>
      <c r="B491" s="3" t="s">
        <v>460</v>
      </c>
      <c r="C491" s="4" t="s">
        <v>464</v>
      </c>
      <c r="D491" s="7" t="s">
        <v>17</v>
      </c>
      <c r="E491" s="6" t="s">
        <v>18</v>
      </c>
      <c r="F491" s="4" t="s">
        <v>19</v>
      </c>
    </row>
    <row r="492" customFormat="false" ht="26.85" hidden="false" customHeight="false" outlineLevel="0" collapsed="false">
      <c r="A492" s="3" t="s">
        <v>71</v>
      </c>
      <c r="B492" s="3" t="s">
        <v>460</v>
      </c>
      <c r="C492" s="4" t="s">
        <v>465</v>
      </c>
      <c r="D492" s="7" t="s">
        <v>17</v>
      </c>
      <c r="E492" s="6" t="s">
        <v>18</v>
      </c>
      <c r="F492" s="4" t="s">
        <v>19</v>
      </c>
    </row>
    <row r="493" customFormat="false" ht="26.85" hidden="false" customHeight="false" outlineLevel="0" collapsed="false">
      <c r="A493" s="3" t="s">
        <v>71</v>
      </c>
      <c r="B493" s="3" t="s">
        <v>460</v>
      </c>
      <c r="C493" s="4" t="s">
        <v>466</v>
      </c>
      <c r="D493" s="7" t="s">
        <v>17</v>
      </c>
      <c r="E493" s="6" t="s">
        <v>18</v>
      </c>
      <c r="F493" s="4" t="s">
        <v>19</v>
      </c>
    </row>
    <row r="494" customFormat="false" ht="26.85" hidden="false" customHeight="false" outlineLevel="0" collapsed="false">
      <c r="A494" s="3" t="s">
        <v>71</v>
      </c>
      <c r="B494" s="3" t="s">
        <v>42</v>
      </c>
      <c r="C494" s="4" t="s">
        <v>43</v>
      </c>
      <c r="D494" s="7" t="s">
        <v>17</v>
      </c>
      <c r="E494" s="6" t="s">
        <v>18</v>
      </c>
      <c r="F494" s="4" t="s">
        <v>19</v>
      </c>
    </row>
    <row r="495" customFormat="false" ht="26.85" hidden="false" customHeight="false" outlineLevel="0" collapsed="false">
      <c r="A495" s="3" t="s">
        <v>71</v>
      </c>
      <c r="B495" s="3" t="s">
        <v>42</v>
      </c>
      <c r="C495" s="4" t="s">
        <v>44</v>
      </c>
      <c r="D495" s="7" t="s">
        <v>17</v>
      </c>
      <c r="E495" s="6" t="s">
        <v>18</v>
      </c>
      <c r="F495" s="4" t="s">
        <v>19</v>
      </c>
    </row>
    <row r="496" customFormat="false" ht="26.85" hidden="false" customHeight="false" outlineLevel="0" collapsed="false">
      <c r="A496" s="3" t="s">
        <v>71</v>
      </c>
      <c r="B496" s="3" t="s">
        <v>42</v>
      </c>
      <c r="C496" s="4" t="s">
        <v>45</v>
      </c>
      <c r="D496" s="5" t="s">
        <v>10</v>
      </c>
      <c r="E496" s="6" t="s">
        <v>11</v>
      </c>
      <c r="F496" s="4" t="s">
        <v>15</v>
      </c>
    </row>
    <row r="497" customFormat="false" ht="26.85" hidden="false" customHeight="false" outlineLevel="0" collapsed="false">
      <c r="A497" s="3" t="s">
        <v>7</v>
      </c>
      <c r="B497" s="3" t="s">
        <v>467</v>
      </c>
      <c r="C497" s="4" t="s">
        <v>468</v>
      </c>
      <c r="D497" s="7" t="s">
        <v>17</v>
      </c>
      <c r="E497" s="6" t="s">
        <v>18</v>
      </c>
      <c r="F497" s="4" t="s">
        <v>19</v>
      </c>
    </row>
    <row r="498" customFormat="false" ht="26.85" hidden="false" customHeight="false" outlineLevel="0" collapsed="false">
      <c r="A498" s="3" t="s">
        <v>7</v>
      </c>
      <c r="B498" s="3" t="s">
        <v>467</v>
      </c>
      <c r="C498" s="4" t="s">
        <v>469</v>
      </c>
      <c r="D498" s="7" t="s">
        <v>17</v>
      </c>
      <c r="E498" s="6" t="s">
        <v>18</v>
      </c>
      <c r="F498" s="4" t="s">
        <v>19</v>
      </c>
    </row>
    <row r="499" customFormat="false" ht="26.85" hidden="false" customHeight="false" outlineLevel="0" collapsed="false">
      <c r="A499" s="3" t="s">
        <v>71</v>
      </c>
      <c r="B499" s="3" t="s">
        <v>8</v>
      </c>
      <c r="C499" s="4" t="s">
        <v>9</v>
      </c>
      <c r="D499" s="5" t="s">
        <v>10</v>
      </c>
      <c r="E499" s="6" t="s">
        <v>11</v>
      </c>
      <c r="F499" s="4" t="s">
        <v>12</v>
      </c>
    </row>
    <row r="500" customFormat="false" ht="26.85" hidden="false" customHeight="false" outlineLevel="0" collapsed="false">
      <c r="A500" s="3" t="s">
        <v>71</v>
      </c>
      <c r="B500" s="3" t="s">
        <v>8</v>
      </c>
      <c r="C500" s="4" t="s">
        <v>13</v>
      </c>
      <c r="D500" s="5" t="s">
        <v>10</v>
      </c>
      <c r="E500" s="6" t="s">
        <v>11</v>
      </c>
      <c r="F500" s="4" t="s">
        <v>12</v>
      </c>
    </row>
    <row r="501" customFormat="false" ht="26.85" hidden="false" customHeight="false" outlineLevel="0" collapsed="false">
      <c r="A501" s="3" t="s">
        <v>71</v>
      </c>
      <c r="B501" s="3" t="s">
        <v>8</v>
      </c>
      <c r="C501" s="4" t="s">
        <v>14</v>
      </c>
      <c r="D501" s="5" t="s">
        <v>10</v>
      </c>
      <c r="E501" s="6" t="s">
        <v>11</v>
      </c>
      <c r="F501" s="4" t="s">
        <v>15</v>
      </c>
    </row>
    <row r="502" customFormat="false" ht="39.55" hidden="false" customHeight="false" outlineLevel="0" collapsed="false">
      <c r="A502" s="3" t="s">
        <v>71</v>
      </c>
      <c r="B502" s="3" t="s">
        <v>8</v>
      </c>
      <c r="C502" s="4" t="s">
        <v>16</v>
      </c>
      <c r="D502" s="7" t="s">
        <v>17</v>
      </c>
      <c r="E502" s="6" t="s">
        <v>18</v>
      </c>
      <c r="F502" s="4" t="s">
        <v>19</v>
      </c>
    </row>
    <row r="503" customFormat="false" ht="26.85" hidden="false" customHeight="false" outlineLevel="0" collapsed="false">
      <c r="A503" s="3" t="s">
        <v>71</v>
      </c>
      <c r="B503" s="3" t="s">
        <v>470</v>
      </c>
      <c r="C503" s="4" t="s">
        <v>471</v>
      </c>
      <c r="D503" s="7" t="s">
        <v>17</v>
      </c>
      <c r="E503" s="6" t="s">
        <v>18</v>
      </c>
      <c r="F503" s="4" t="s">
        <v>19</v>
      </c>
    </row>
    <row r="504" customFormat="false" ht="26.85" hidden="false" customHeight="false" outlineLevel="0" collapsed="false">
      <c r="A504" s="3" t="s">
        <v>71</v>
      </c>
      <c r="B504" s="3" t="s">
        <v>470</v>
      </c>
      <c r="C504" s="4" t="s">
        <v>472</v>
      </c>
      <c r="D504" s="7" t="s">
        <v>17</v>
      </c>
      <c r="E504" s="6" t="s">
        <v>18</v>
      </c>
      <c r="F504" s="4" t="s">
        <v>19</v>
      </c>
    </row>
    <row r="505" customFormat="false" ht="26.85" hidden="false" customHeight="false" outlineLevel="0" collapsed="false">
      <c r="A505" s="3" t="s">
        <v>71</v>
      </c>
      <c r="B505" s="3" t="s">
        <v>470</v>
      </c>
      <c r="C505" s="4" t="s">
        <v>473</v>
      </c>
      <c r="D505" s="7" t="s">
        <v>17</v>
      </c>
      <c r="E505" s="6" t="s">
        <v>18</v>
      </c>
      <c r="F505" s="4" t="s">
        <v>19</v>
      </c>
    </row>
    <row r="506" customFormat="false" ht="26.85" hidden="false" customHeight="false" outlineLevel="0" collapsed="false">
      <c r="A506" s="3" t="s">
        <v>71</v>
      </c>
      <c r="B506" s="3" t="s">
        <v>470</v>
      </c>
      <c r="C506" s="4" t="s">
        <v>474</v>
      </c>
      <c r="D506" s="7" t="s">
        <v>17</v>
      </c>
      <c r="E506" s="6" t="s">
        <v>18</v>
      </c>
      <c r="F506" s="4" t="s">
        <v>19</v>
      </c>
    </row>
    <row r="507" customFormat="false" ht="26.85" hidden="false" customHeight="false" outlineLevel="0" collapsed="false">
      <c r="A507" s="3" t="s">
        <v>71</v>
      </c>
      <c r="B507" s="3" t="s">
        <v>470</v>
      </c>
      <c r="C507" s="4" t="s">
        <v>475</v>
      </c>
      <c r="D507" s="7" t="s">
        <v>17</v>
      </c>
      <c r="E507" s="6" t="s">
        <v>18</v>
      </c>
      <c r="F507" s="4" t="s">
        <v>19</v>
      </c>
    </row>
    <row r="508" customFormat="false" ht="26.85" hidden="false" customHeight="false" outlineLevel="0" collapsed="false">
      <c r="A508" s="3" t="s">
        <v>71</v>
      </c>
      <c r="B508" s="3" t="s">
        <v>476</v>
      </c>
      <c r="C508" s="4" t="s">
        <v>477</v>
      </c>
      <c r="D508" s="5" t="s">
        <v>10</v>
      </c>
      <c r="E508" s="6" t="s">
        <v>11</v>
      </c>
      <c r="F508" s="4" t="s">
        <v>23</v>
      </c>
    </row>
    <row r="509" customFormat="false" ht="26.85" hidden="false" customHeight="false" outlineLevel="0" collapsed="false">
      <c r="A509" s="3" t="s">
        <v>71</v>
      </c>
      <c r="B509" s="3" t="s">
        <v>476</v>
      </c>
      <c r="C509" s="4" t="s">
        <v>478</v>
      </c>
      <c r="D509" s="5" t="s">
        <v>10</v>
      </c>
      <c r="E509" s="6" t="s">
        <v>11</v>
      </c>
      <c r="F509" s="4" t="s">
        <v>23</v>
      </c>
    </row>
    <row r="510" customFormat="false" ht="26.85" hidden="false" customHeight="false" outlineLevel="0" collapsed="false">
      <c r="A510" s="3" t="s">
        <v>71</v>
      </c>
      <c r="B510" s="3" t="s">
        <v>476</v>
      </c>
      <c r="C510" s="4" t="s">
        <v>479</v>
      </c>
      <c r="D510" s="5" t="s">
        <v>10</v>
      </c>
      <c r="E510" s="6" t="s">
        <v>11</v>
      </c>
      <c r="F510" s="4" t="s">
        <v>23</v>
      </c>
    </row>
    <row r="511" customFormat="false" ht="26.85" hidden="false" customHeight="false" outlineLevel="0" collapsed="false">
      <c r="A511" s="3" t="s">
        <v>71</v>
      </c>
      <c r="B511" s="3" t="s">
        <v>21</v>
      </c>
      <c r="C511" s="4" t="s">
        <v>22</v>
      </c>
      <c r="D511" s="5" t="s">
        <v>10</v>
      </c>
      <c r="E511" s="6" t="s">
        <v>11</v>
      </c>
      <c r="F511" s="4" t="s">
        <v>23</v>
      </c>
    </row>
    <row r="512" customFormat="false" ht="26.85" hidden="false" customHeight="false" outlineLevel="0" collapsed="false">
      <c r="A512" s="3" t="s">
        <v>71</v>
      </c>
      <c r="B512" s="3" t="s">
        <v>21</v>
      </c>
      <c r="C512" s="4" t="s">
        <v>24</v>
      </c>
      <c r="D512" s="5" t="s">
        <v>10</v>
      </c>
      <c r="E512" s="6" t="s">
        <v>11</v>
      </c>
      <c r="F512" s="4" t="s">
        <v>25</v>
      </c>
    </row>
    <row r="513" customFormat="false" ht="26.85" hidden="false" customHeight="false" outlineLevel="0" collapsed="false">
      <c r="A513" s="3" t="s">
        <v>71</v>
      </c>
      <c r="B513" s="3" t="s">
        <v>21</v>
      </c>
      <c r="C513" s="4" t="s">
        <v>26</v>
      </c>
      <c r="D513" s="5" t="s">
        <v>10</v>
      </c>
      <c r="E513" s="6" t="s">
        <v>11</v>
      </c>
      <c r="F513" s="4" t="s">
        <v>23</v>
      </c>
    </row>
    <row r="514" customFormat="false" ht="26.85" hidden="false" customHeight="false" outlineLevel="0" collapsed="false">
      <c r="A514" s="3" t="s">
        <v>71</v>
      </c>
      <c r="B514" s="3" t="s">
        <v>21</v>
      </c>
      <c r="C514" s="4" t="s">
        <v>27</v>
      </c>
      <c r="D514" s="5" t="s">
        <v>10</v>
      </c>
      <c r="E514" s="6" t="s">
        <v>11</v>
      </c>
      <c r="F514" s="4" t="s">
        <v>25</v>
      </c>
    </row>
    <row r="515" customFormat="false" ht="26.85" hidden="false" customHeight="false" outlineLevel="0" collapsed="false">
      <c r="A515" s="3" t="s">
        <v>71</v>
      </c>
      <c r="B515" s="3" t="s">
        <v>21</v>
      </c>
      <c r="C515" s="4" t="s">
        <v>28</v>
      </c>
      <c r="D515" s="7" t="s">
        <v>17</v>
      </c>
      <c r="E515" s="6" t="s">
        <v>18</v>
      </c>
      <c r="F515" s="4" t="s">
        <v>19</v>
      </c>
    </row>
    <row r="516" customFormat="false" ht="26.85" hidden="false" customHeight="false" outlineLevel="0" collapsed="false">
      <c r="A516" s="3" t="s">
        <v>71</v>
      </c>
      <c r="B516" s="3" t="s">
        <v>480</v>
      </c>
      <c r="C516" s="4" t="s">
        <v>481</v>
      </c>
      <c r="D516" s="7" t="s">
        <v>17</v>
      </c>
      <c r="E516" s="6" t="s">
        <v>18</v>
      </c>
      <c r="F516" s="4" t="s">
        <v>19</v>
      </c>
    </row>
    <row r="517" customFormat="false" ht="26.85" hidden="false" customHeight="false" outlineLevel="0" collapsed="false">
      <c r="A517" s="3" t="s">
        <v>71</v>
      </c>
      <c r="B517" s="3" t="s">
        <v>480</v>
      </c>
      <c r="C517" s="4" t="s">
        <v>482</v>
      </c>
      <c r="D517" s="5" t="s">
        <v>10</v>
      </c>
      <c r="E517" s="6" t="s">
        <v>11</v>
      </c>
      <c r="F517" s="4" t="s">
        <v>33</v>
      </c>
    </row>
    <row r="518" customFormat="false" ht="26.85" hidden="false" customHeight="false" outlineLevel="0" collapsed="false">
      <c r="A518" s="3" t="s">
        <v>71</v>
      </c>
      <c r="B518" s="3" t="s">
        <v>480</v>
      </c>
      <c r="C518" s="4" t="s">
        <v>483</v>
      </c>
      <c r="D518" s="7" t="s">
        <v>17</v>
      </c>
      <c r="E518" s="6" t="s">
        <v>18</v>
      </c>
      <c r="F518" s="4" t="s">
        <v>19</v>
      </c>
    </row>
    <row r="519" customFormat="false" ht="26.85" hidden="false" customHeight="false" outlineLevel="0" collapsed="false">
      <c r="A519" s="3" t="s">
        <v>71</v>
      </c>
      <c r="B519" s="3" t="s">
        <v>480</v>
      </c>
      <c r="C519" s="4" t="s">
        <v>484</v>
      </c>
      <c r="D519" s="7" t="s">
        <v>17</v>
      </c>
      <c r="E519" s="6" t="s">
        <v>18</v>
      </c>
      <c r="F519" s="4" t="s">
        <v>19</v>
      </c>
    </row>
    <row r="520" customFormat="false" ht="26.85" hidden="false" customHeight="false" outlineLevel="0" collapsed="false">
      <c r="A520" s="3" t="s">
        <v>140</v>
      </c>
      <c r="B520" s="3" t="s">
        <v>485</v>
      </c>
      <c r="C520" s="4" t="s">
        <v>486</v>
      </c>
      <c r="D520" s="7" t="s">
        <v>17</v>
      </c>
      <c r="E520" s="6" t="s">
        <v>18</v>
      </c>
      <c r="F520" s="4" t="s">
        <v>19</v>
      </c>
    </row>
    <row r="521" customFormat="false" ht="26.85" hidden="false" customHeight="false" outlineLevel="0" collapsed="false">
      <c r="A521" s="3" t="s">
        <v>140</v>
      </c>
      <c r="B521" s="3" t="s">
        <v>485</v>
      </c>
      <c r="C521" s="4" t="s">
        <v>487</v>
      </c>
      <c r="D521" s="7" t="s">
        <v>17</v>
      </c>
      <c r="E521" s="6" t="s">
        <v>18</v>
      </c>
      <c r="F521" s="4" t="s">
        <v>19</v>
      </c>
    </row>
    <row r="522" customFormat="false" ht="26.85" hidden="false" customHeight="false" outlineLevel="0" collapsed="false">
      <c r="A522" s="3" t="s">
        <v>140</v>
      </c>
      <c r="B522" s="3" t="s">
        <v>485</v>
      </c>
      <c r="C522" s="4" t="s">
        <v>488</v>
      </c>
      <c r="D522" s="5" t="s">
        <v>10</v>
      </c>
      <c r="E522" s="6" t="s">
        <v>11</v>
      </c>
      <c r="F522" s="4" t="s">
        <v>33</v>
      </c>
    </row>
    <row r="523" customFormat="false" ht="26.85" hidden="false" customHeight="false" outlineLevel="0" collapsed="false">
      <c r="A523" s="3" t="s">
        <v>71</v>
      </c>
      <c r="B523" s="3" t="s">
        <v>489</v>
      </c>
      <c r="C523" s="4" t="s">
        <v>490</v>
      </c>
      <c r="D523" s="7" t="s">
        <v>17</v>
      </c>
      <c r="E523" s="6" t="s">
        <v>18</v>
      </c>
      <c r="F523" s="4" t="s">
        <v>19</v>
      </c>
    </row>
    <row r="524" customFormat="false" ht="26.85" hidden="false" customHeight="false" outlineLevel="0" collapsed="false">
      <c r="A524" s="3" t="s">
        <v>71</v>
      </c>
      <c r="B524" s="3" t="s">
        <v>489</v>
      </c>
      <c r="C524" s="4" t="s">
        <v>491</v>
      </c>
      <c r="D524" s="7" t="s">
        <v>17</v>
      </c>
      <c r="E524" s="6" t="s">
        <v>18</v>
      </c>
      <c r="F524" s="4" t="s">
        <v>19</v>
      </c>
    </row>
    <row r="525" customFormat="false" ht="26.85" hidden="false" customHeight="false" outlineLevel="0" collapsed="false">
      <c r="A525" s="3" t="s">
        <v>71</v>
      </c>
      <c r="B525" s="3" t="s">
        <v>489</v>
      </c>
      <c r="C525" s="4" t="s">
        <v>492</v>
      </c>
      <c r="D525" s="7" t="s">
        <v>17</v>
      </c>
      <c r="E525" s="6" t="s">
        <v>18</v>
      </c>
      <c r="F525" s="4" t="s">
        <v>19</v>
      </c>
    </row>
    <row r="526" customFormat="false" ht="26.85" hidden="false" customHeight="false" outlineLevel="0" collapsed="false">
      <c r="A526" s="3" t="s">
        <v>71</v>
      </c>
      <c r="B526" s="3" t="s">
        <v>489</v>
      </c>
      <c r="C526" s="4" t="s">
        <v>493</v>
      </c>
      <c r="D526" s="7" t="s">
        <v>17</v>
      </c>
      <c r="E526" s="6" t="s">
        <v>18</v>
      </c>
      <c r="F526" s="4" t="s">
        <v>19</v>
      </c>
    </row>
    <row r="527" customFormat="false" ht="26.85" hidden="false" customHeight="false" outlineLevel="0" collapsed="false">
      <c r="A527" s="3" t="s">
        <v>71</v>
      </c>
      <c r="B527" s="3" t="s">
        <v>489</v>
      </c>
      <c r="C527" s="4" t="s">
        <v>494</v>
      </c>
      <c r="D527" s="7" t="s">
        <v>17</v>
      </c>
      <c r="E527" s="6" t="s">
        <v>18</v>
      </c>
      <c r="F527" s="4" t="s">
        <v>19</v>
      </c>
    </row>
    <row r="528" customFormat="false" ht="26.85" hidden="false" customHeight="false" outlineLevel="0" collapsed="false">
      <c r="A528" s="3" t="s">
        <v>71</v>
      </c>
      <c r="B528" s="3" t="s">
        <v>489</v>
      </c>
      <c r="C528" s="4" t="s">
        <v>495</v>
      </c>
      <c r="D528" s="7" t="s">
        <v>17</v>
      </c>
      <c r="E528" s="6" t="s">
        <v>18</v>
      </c>
      <c r="F528" s="4" t="s">
        <v>19</v>
      </c>
    </row>
    <row r="529" customFormat="false" ht="26.85" hidden="false" customHeight="false" outlineLevel="0" collapsed="false">
      <c r="A529" s="3" t="s">
        <v>496</v>
      </c>
      <c r="B529" s="3" t="s">
        <v>496</v>
      </c>
      <c r="C529" s="4" t="s">
        <v>497</v>
      </c>
      <c r="D529" s="5" t="s">
        <v>10</v>
      </c>
      <c r="E529" s="6" t="s">
        <v>11</v>
      </c>
      <c r="F529" s="4" t="s">
        <v>87</v>
      </c>
    </row>
    <row r="530" customFormat="false" ht="26.85" hidden="false" customHeight="false" outlineLevel="0" collapsed="false">
      <c r="A530" s="3" t="s">
        <v>496</v>
      </c>
      <c r="B530" s="3" t="s">
        <v>496</v>
      </c>
      <c r="C530" s="4" t="s">
        <v>498</v>
      </c>
      <c r="D530" s="7" t="s">
        <v>17</v>
      </c>
      <c r="E530" s="6" t="s">
        <v>18</v>
      </c>
      <c r="F530" s="4" t="s">
        <v>19</v>
      </c>
    </row>
    <row r="531" customFormat="false" ht="26.85" hidden="false" customHeight="false" outlineLevel="0" collapsed="false">
      <c r="A531" s="3" t="s">
        <v>496</v>
      </c>
      <c r="B531" s="3" t="s">
        <v>496</v>
      </c>
      <c r="C531" s="4" t="s">
        <v>499</v>
      </c>
      <c r="D531" s="5" t="s">
        <v>10</v>
      </c>
      <c r="E531" s="6" t="s">
        <v>11</v>
      </c>
      <c r="F531" s="4" t="s">
        <v>227</v>
      </c>
    </row>
    <row r="532" customFormat="false" ht="26.85" hidden="false" customHeight="false" outlineLevel="0" collapsed="false">
      <c r="A532" s="3" t="s">
        <v>496</v>
      </c>
      <c r="B532" s="3" t="s">
        <v>42</v>
      </c>
      <c r="C532" s="4" t="s">
        <v>43</v>
      </c>
      <c r="D532" s="7" t="s">
        <v>17</v>
      </c>
      <c r="E532" s="6" t="s">
        <v>18</v>
      </c>
      <c r="F532" s="4" t="s">
        <v>19</v>
      </c>
    </row>
    <row r="533" customFormat="false" ht="26.85" hidden="false" customHeight="false" outlineLevel="0" collapsed="false">
      <c r="A533" s="3" t="s">
        <v>496</v>
      </c>
      <c r="B533" s="3" t="s">
        <v>42</v>
      </c>
      <c r="C533" s="4" t="s">
        <v>44</v>
      </c>
      <c r="D533" s="7" t="s">
        <v>17</v>
      </c>
      <c r="E533" s="6" t="s">
        <v>18</v>
      </c>
      <c r="F533" s="4" t="s">
        <v>19</v>
      </c>
    </row>
    <row r="534" customFormat="false" ht="26.85" hidden="false" customHeight="false" outlineLevel="0" collapsed="false">
      <c r="A534" s="3" t="s">
        <v>496</v>
      </c>
      <c r="B534" s="3" t="s">
        <v>42</v>
      </c>
      <c r="C534" s="4" t="s">
        <v>45</v>
      </c>
      <c r="D534" s="5" t="s">
        <v>10</v>
      </c>
      <c r="E534" s="6" t="s">
        <v>11</v>
      </c>
      <c r="F534" s="4" t="s">
        <v>15</v>
      </c>
    </row>
    <row r="535" customFormat="false" ht="26.85" hidden="false" customHeight="false" outlineLevel="0" collapsed="false">
      <c r="A535" s="3" t="s">
        <v>7</v>
      </c>
      <c r="B535" s="3" t="s">
        <v>8</v>
      </c>
      <c r="C535" s="4" t="s">
        <v>9</v>
      </c>
      <c r="D535" s="5" t="s">
        <v>10</v>
      </c>
      <c r="E535" s="6" t="s">
        <v>11</v>
      </c>
      <c r="F535" s="4" t="s">
        <v>12</v>
      </c>
    </row>
    <row r="536" customFormat="false" ht="26.85" hidden="false" customHeight="false" outlineLevel="0" collapsed="false">
      <c r="A536" s="3" t="s">
        <v>7</v>
      </c>
      <c r="B536" s="3" t="s">
        <v>8</v>
      </c>
      <c r="C536" s="4" t="s">
        <v>13</v>
      </c>
      <c r="D536" s="5" t="s">
        <v>10</v>
      </c>
      <c r="E536" s="6" t="s">
        <v>11</v>
      </c>
      <c r="F536" s="4" t="s">
        <v>12</v>
      </c>
    </row>
    <row r="537" customFormat="false" ht="26.85" hidden="false" customHeight="false" outlineLevel="0" collapsed="false">
      <c r="A537" s="3" t="s">
        <v>7</v>
      </c>
      <c r="B537" s="3" t="s">
        <v>8</v>
      </c>
      <c r="C537" s="4" t="s">
        <v>14</v>
      </c>
      <c r="D537" s="5" t="s">
        <v>10</v>
      </c>
      <c r="E537" s="6" t="s">
        <v>11</v>
      </c>
      <c r="F537" s="4" t="s">
        <v>15</v>
      </c>
    </row>
    <row r="538" customFormat="false" ht="39.55" hidden="false" customHeight="false" outlineLevel="0" collapsed="false">
      <c r="A538" s="3" t="s">
        <v>7</v>
      </c>
      <c r="B538" s="3" t="s">
        <v>8</v>
      </c>
      <c r="C538" s="4" t="s">
        <v>16</v>
      </c>
      <c r="D538" s="7" t="s">
        <v>17</v>
      </c>
      <c r="E538" s="6" t="s">
        <v>18</v>
      </c>
      <c r="F538" s="4" t="s">
        <v>19</v>
      </c>
    </row>
    <row r="539" customFormat="false" ht="26.85" hidden="false" customHeight="false" outlineLevel="0" collapsed="false">
      <c r="A539" s="3" t="s">
        <v>20</v>
      </c>
      <c r="B539" s="3" t="s">
        <v>21</v>
      </c>
      <c r="C539" s="4" t="s">
        <v>22</v>
      </c>
      <c r="D539" s="5" t="s">
        <v>10</v>
      </c>
      <c r="E539" s="6" t="s">
        <v>11</v>
      </c>
      <c r="F539" s="4" t="s">
        <v>23</v>
      </c>
    </row>
    <row r="540" customFormat="false" ht="26.85" hidden="false" customHeight="false" outlineLevel="0" collapsed="false">
      <c r="A540" s="3" t="s">
        <v>20</v>
      </c>
      <c r="B540" s="3" t="s">
        <v>21</v>
      </c>
      <c r="C540" s="4" t="s">
        <v>24</v>
      </c>
      <c r="D540" s="5" t="s">
        <v>10</v>
      </c>
      <c r="E540" s="6" t="s">
        <v>11</v>
      </c>
      <c r="F540" s="4" t="s">
        <v>25</v>
      </c>
    </row>
    <row r="541" customFormat="false" ht="26.85" hidden="false" customHeight="false" outlineLevel="0" collapsed="false">
      <c r="A541" s="3" t="s">
        <v>20</v>
      </c>
      <c r="B541" s="3" t="s">
        <v>21</v>
      </c>
      <c r="C541" s="4" t="s">
        <v>26</v>
      </c>
      <c r="D541" s="5" t="s">
        <v>10</v>
      </c>
      <c r="E541" s="6" t="s">
        <v>11</v>
      </c>
      <c r="F541" s="4" t="s">
        <v>23</v>
      </c>
    </row>
    <row r="542" customFormat="false" ht="26.85" hidden="false" customHeight="false" outlineLevel="0" collapsed="false">
      <c r="A542" s="3" t="s">
        <v>20</v>
      </c>
      <c r="B542" s="3" t="s">
        <v>21</v>
      </c>
      <c r="C542" s="4" t="s">
        <v>27</v>
      </c>
      <c r="D542" s="5" t="s">
        <v>10</v>
      </c>
      <c r="E542" s="6" t="s">
        <v>11</v>
      </c>
      <c r="F542" s="4" t="s">
        <v>25</v>
      </c>
    </row>
    <row r="543" customFormat="false" ht="26.85" hidden="false" customHeight="false" outlineLevel="0" collapsed="false">
      <c r="A543" s="3" t="s">
        <v>20</v>
      </c>
      <c r="B543" s="3" t="s">
        <v>21</v>
      </c>
      <c r="C543" s="4" t="s">
        <v>28</v>
      </c>
      <c r="D543" s="7" t="s">
        <v>17</v>
      </c>
      <c r="E543" s="6" t="s">
        <v>18</v>
      </c>
      <c r="F543" s="4" t="s">
        <v>19</v>
      </c>
    </row>
    <row r="544" customFormat="false" ht="26.85" hidden="false" customHeight="false" outlineLevel="0" collapsed="false">
      <c r="A544" s="3" t="s">
        <v>500</v>
      </c>
      <c r="B544" s="3" t="s">
        <v>83</v>
      </c>
      <c r="C544" s="4" t="s">
        <v>84</v>
      </c>
      <c r="D544" s="5" t="s">
        <v>10</v>
      </c>
      <c r="E544" s="6" t="s">
        <v>11</v>
      </c>
      <c r="F544" s="4" t="s">
        <v>85</v>
      </c>
    </row>
    <row r="545" customFormat="false" ht="26.85" hidden="false" customHeight="false" outlineLevel="0" collapsed="false">
      <c r="A545" s="3" t="s">
        <v>500</v>
      </c>
      <c r="B545" s="3" t="s">
        <v>83</v>
      </c>
      <c r="C545" s="4" t="s">
        <v>86</v>
      </c>
      <c r="D545" s="5" t="s">
        <v>10</v>
      </c>
      <c r="E545" s="6" t="s">
        <v>11</v>
      </c>
      <c r="F545" s="4" t="s">
        <v>87</v>
      </c>
    </row>
    <row r="546" customFormat="false" ht="26.85" hidden="false" customHeight="false" outlineLevel="0" collapsed="false">
      <c r="A546" s="3" t="s">
        <v>500</v>
      </c>
      <c r="B546" s="3" t="s">
        <v>83</v>
      </c>
      <c r="C546" s="4" t="s">
        <v>88</v>
      </c>
      <c r="D546" s="5" t="s">
        <v>10</v>
      </c>
      <c r="E546" s="6" t="s">
        <v>11</v>
      </c>
      <c r="F546" s="4" t="s">
        <v>87</v>
      </c>
    </row>
    <row r="547" customFormat="false" ht="26.85" hidden="false" customHeight="false" outlineLevel="0" collapsed="false">
      <c r="A547" s="3" t="s">
        <v>500</v>
      </c>
      <c r="B547" s="3" t="s">
        <v>42</v>
      </c>
      <c r="C547" s="4" t="s">
        <v>43</v>
      </c>
      <c r="D547" s="7" t="s">
        <v>17</v>
      </c>
      <c r="E547" s="6" t="s">
        <v>18</v>
      </c>
      <c r="F547" s="4" t="s">
        <v>19</v>
      </c>
    </row>
    <row r="548" customFormat="false" ht="26.85" hidden="false" customHeight="false" outlineLevel="0" collapsed="false">
      <c r="A548" s="3" t="s">
        <v>500</v>
      </c>
      <c r="B548" s="3" t="s">
        <v>42</v>
      </c>
      <c r="C548" s="4" t="s">
        <v>44</v>
      </c>
      <c r="D548" s="7" t="s">
        <v>17</v>
      </c>
      <c r="E548" s="6" t="s">
        <v>18</v>
      </c>
      <c r="F548" s="4" t="s">
        <v>19</v>
      </c>
    </row>
    <row r="549" customFormat="false" ht="26.85" hidden="false" customHeight="false" outlineLevel="0" collapsed="false">
      <c r="A549" s="3" t="s">
        <v>500</v>
      </c>
      <c r="B549" s="3" t="s">
        <v>42</v>
      </c>
      <c r="C549" s="4" t="s">
        <v>45</v>
      </c>
      <c r="D549" s="5" t="s">
        <v>10</v>
      </c>
      <c r="E549" s="6" t="s">
        <v>11</v>
      </c>
      <c r="F549" s="4" t="s">
        <v>15</v>
      </c>
    </row>
    <row r="550" customFormat="false" ht="26.85" hidden="false" customHeight="false" outlineLevel="0" collapsed="false">
      <c r="A550" s="3" t="s">
        <v>7</v>
      </c>
      <c r="B550" s="3" t="s">
        <v>501</v>
      </c>
      <c r="C550" s="4" t="s">
        <v>90</v>
      </c>
      <c r="D550" s="7" t="s">
        <v>17</v>
      </c>
      <c r="E550" s="6" t="s">
        <v>18</v>
      </c>
      <c r="F550" s="4" t="s">
        <v>19</v>
      </c>
    </row>
    <row r="551" customFormat="false" ht="26.85" hidden="false" customHeight="false" outlineLevel="0" collapsed="false">
      <c r="A551" s="3" t="s">
        <v>7</v>
      </c>
      <c r="B551" s="3" t="s">
        <v>501</v>
      </c>
      <c r="C551" s="4" t="s">
        <v>91</v>
      </c>
      <c r="D551" s="7" t="s">
        <v>17</v>
      </c>
      <c r="E551" s="6" t="s">
        <v>18</v>
      </c>
      <c r="F551" s="4" t="s">
        <v>19</v>
      </c>
    </row>
    <row r="552" customFormat="false" ht="26.85" hidden="false" customHeight="false" outlineLevel="0" collapsed="false">
      <c r="A552" s="3" t="s">
        <v>500</v>
      </c>
      <c r="B552" s="3" t="s">
        <v>502</v>
      </c>
      <c r="C552" s="4" t="s">
        <v>93</v>
      </c>
      <c r="D552" s="7" t="s">
        <v>17</v>
      </c>
      <c r="E552" s="6" t="s">
        <v>18</v>
      </c>
      <c r="F552" s="4" t="s">
        <v>19</v>
      </c>
    </row>
    <row r="553" customFormat="false" ht="26.85" hidden="false" customHeight="false" outlineLevel="0" collapsed="false">
      <c r="A553" s="3" t="s">
        <v>500</v>
      </c>
      <c r="B553" s="3" t="s">
        <v>502</v>
      </c>
      <c r="C553" s="4" t="s">
        <v>94</v>
      </c>
      <c r="D553" s="7" t="s">
        <v>17</v>
      </c>
      <c r="E553" s="6" t="s">
        <v>18</v>
      </c>
      <c r="F553" s="4" t="s">
        <v>19</v>
      </c>
    </row>
    <row r="554" customFormat="false" ht="26.85" hidden="false" customHeight="false" outlineLevel="0" collapsed="false">
      <c r="A554" s="3" t="s">
        <v>500</v>
      </c>
      <c r="B554" s="3" t="s">
        <v>502</v>
      </c>
      <c r="C554" s="4" t="s">
        <v>95</v>
      </c>
      <c r="D554" s="7" t="s">
        <v>17</v>
      </c>
      <c r="E554" s="6" t="s">
        <v>18</v>
      </c>
      <c r="F554" s="4" t="s">
        <v>19</v>
      </c>
    </row>
    <row r="555" customFormat="false" ht="26.85" hidden="false" customHeight="false" outlineLevel="0" collapsed="false">
      <c r="A555" s="3" t="s">
        <v>500</v>
      </c>
      <c r="B555" s="3" t="s">
        <v>502</v>
      </c>
      <c r="C555" s="4" t="s">
        <v>96</v>
      </c>
      <c r="D555" s="5" t="s">
        <v>10</v>
      </c>
      <c r="E555" s="6" t="s">
        <v>11</v>
      </c>
      <c r="F555" s="4" t="s">
        <v>33</v>
      </c>
    </row>
    <row r="556" customFormat="false" ht="26.85" hidden="false" customHeight="false" outlineLevel="0" collapsed="false">
      <c r="A556" s="3" t="s">
        <v>500</v>
      </c>
      <c r="B556" s="3" t="s">
        <v>502</v>
      </c>
      <c r="C556" s="4" t="s">
        <v>97</v>
      </c>
      <c r="D556" s="7" t="s">
        <v>17</v>
      </c>
      <c r="E556" s="6" t="s">
        <v>18</v>
      </c>
      <c r="F556" s="4" t="s">
        <v>19</v>
      </c>
    </row>
    <row r="557" customFormat="false" ht="26.85" hidden="false" customHeight="false" outlineLevel="0" collapsed="false">
      <c r="A557" s="3" t="s">
        <v>7</v>
      </c>
      <c r="B557" s="3" t="s">
        <v>98</v>
      </c>
      <c r="C557" s="4" t="s">
        <v>99</v>
      </c>
      <c r="D557" s="7" t="s">
        <v>17</v>
      </c>
      <c r="E557" s="6" t="s">
        <v>18</v>
      </c>
      <c r="F557" s="4" t="s">
        <v>19</v>
      </c>
    </row>
    <row r="558" customFormat="false" ht="26.85" hidden="false" customHeight="false" outlineLevel="0" collapsed="false">
      <c r="A558" s="3" t="s">
        <v>7</v>
      </c>
      <c r="B558" s="3" t="s">
        <v>98</v>
      </c>
      <c r="C558" s="4" t="s">
        <v>100</v>
      </c>
      <c r="D558" s="5" t="s">
        <v>10</v>
      </c>
      <c r="E558" s="6" t="s">
        <v>11</v>
      </c>
      <c r="F558" s="4" t="s">
        <v>33</v>
      </c>
    </row>
    <row r="559" customFormat="false" ht="26.85" hidden="false" customHeight="false" outlineLevel="0" collapsed="false">
      <c r="A559" s="3" t="s">
        <v>7</v>
      </c>
      <c r="B559" s="3" t="s">
        <v>98</v>
      </c>
      <c r="C559" s="4" t="s">
        <v>101</v>
      </c>
      <c r="D559" s="7" t="s">
        <v>17</v>
      </c>
      <c r="E559" s="6" t="s">
        <v>18</v>
      </c>
      <c r="F559" s="4" t="s">
        <v>19</v>
      </c>
    </row>
    <row r="560" customFormat="false" ht="26.85" hidden="false" customHeight="false" outlineLevel="0" collapsed="false">
      <c r="A560" s="3" t="s">
        <v>500</v>
      </c>
      <c r="B560" s="3" t="s">
        <v>8</v>
      </c>
      <c r="C560" s="4" t="s">
        <v>9</v>
      </c>
      <c r="D560" s="5" t="s">
        <v>10</v>
      </c>
      <c r="E560" s="6" t="s">
        <v>11</v>
      </c>
      <c r="F560" s="4" t="s">
        <v>12</v>
      </c>
    </row>
    <row r="561" customFormat="false" ht="26.85" hidden="false" customHeight="false" outlineLevel="0" collapsed="false">
      <c r="A561" s="3" t="s">
        <v>500</v>
      </c>
      <c r="B561" s="3" t="s">
        <v>8</v>
      </c>
      <c r="C561" s="4" t="s">
        <v>13</v>
      </c>
      <c r="D561" s="5" t="s">
        <v>10</v>
      </c>
      <c r="E561" s="6" t="s">
        <v>11</v>
      </c>
      <c r="F561" s="4" t="s">
        <v>12</v>
      </c>
    </row>
    <row r="562" customFormat="false" ht="26.85" hidden="false" customHeight="false" outlineLevel="0" collapsed="false">
      <c r="A562" s="3" t="s">
        <v>500</v>
      </c>
      <c r="B562" s="3" t="s">
        <v>8</v>
      </c>
      <c r="C562" s="4" t="s">
        <v>14</v>
      </c>
      <c r="D562" s="5" t="s">
        <v>10</v>
      </c>
      <c r="E562" s="6" t="s">
        <v>11</v>
      </c>
      <c r="F562" s="4" t="s">
        <v>15</v>
      </c>
    </row>
    <row r="563" customFormat="false" ht="39.55" hidden="false" customHeight="false" outlineLevel="0" collapsed="false">
      <c r="A563" s="3" t="s">
        <v>500</v>
      </c>
      <c r="B563" s="3" t="s">
        <v>8</v>
      </c>
      <c r="C563" s="4" t="s">
        <v>16</v>
      </c>
      <c r="D563" s="7" t="s">
        <v>17</v>
      </c>
      <c r="E563" s="6" t="s">
        <v>18</v>
      </c>
      <c r="F563" s="4" t="s">
        <v>19</v>
      </c>
    </row>
    <row r="564" customFormat="false" ht="26.85" hidden="false" customHeight="false" outlineLevel="0" collapsed="false">
      <c r="A564" s="3" t="s">
        <v>500</v>
      </c>
      <c r="B564" s="3" t="s">
        <v>112</v>
      </c>
      <c r="C564" s="4" t="s">
        <v>113</v>
      </c>
      <c r="D564" s="5" t="s">
        <v>10</v>
      </c>
      <c r="E564" s="6" t="s">
        <v>11</v>
      </c>
      <c r="F564" s="4" t="s">
        <v>33</v>
      </c>
    </row>
    <row r="565" customFormat="false" ht="26.85" hidden="false" customHeight="false" outlineLevel="0" collapsed="false">
      <c r="A565" s="3" t="s">
        <v>500</v>
      </c>
      <c r="B565" s="3" t="s">
        <v>112</v>
      </c>
      <c r="C565" s="4" t="s">
        <v>114</v>
      </c>
      <c r="D565" s="7" t="s">
        <v>17</v>
      </c>
      <c r="E565" s="6" t="s">
        <v>18</v>
      </c>
      <c r="F565" s="4" t="s">
        <v>19</v>
      </c>
    </row>
    <row r="566" customFormat="false" ht="26.85" hidden="false" customHeight="false" outlineLevel="0" collapsed="false">
      <c r="A566" s="3" t="s">
        <v>500</v>
      </c>
      <c r="B566" s="3" t="s">
        <v>112</v>
      </c>
      <c r="C566" s="4" t="s">
        <v>115</v>
      </c>
      <c r="D566" s="7" t="s">
        <v>17</v>
      </c>
      <c r="E566" s="6" t="s">
        <v>18</v>
      </c>
      <c r="F566" s="4" t="s">
        <v>19</v>
      </c>
    </row>
    <row r="567" customFormat="false" ht="26.85" hidden="false" customHeight="false" outlineLevel="0" collapsed="false">
      <c r="A567" s="3" t="s">
        <v>500</v>
      </c>
      <c r="B567" s="3" t="s">
        <v>112</v>
      </c>
      <c r="C567" s="4" t="s">
        <v>116</v>
      </c>
      <c r="D567" s="7" t="s">
        <v>17</v>
      </c>
      <c r="E567" s="6" t="s">
        <v>18</v>
      </c>
      <c r="F567" s="4" t="s">
        <v>19</v>
      </c>
    </row>
    <row r="568" customFormat="false" ht="26.85" hidden="false" customHeight="false" outlineLevel="0" collapsed="false">
      <c r="A568" s="3" t="s">
        <v>500</v>
      </c>
      <c r="B568" s="3" t="s">
        <v>112</v>
      </c>
      <c r="C568" s="4" t="s">
        <v>117</v>
      </c>
      <c r="D568" s="7" t="s">
        <v>17</v>
      </c>
      <c r="E568" s="6" t="s">
        <v>18</v>
      </c>
      <c r="F568" s="4" t="s">
        <v>19</v>
      </c>
    </row>
    <row r="569" customFormat="false" ht="26.85" hidden="false" customHeight="false" outlineLevel="0" collapsed="false">
      <c r="A569" s="3" t="s">
        <v>500</v>
      </c>
      <c r="B569" s="3" t="s">
        <v>112</v>
      </c>
      <c r="C569" s="4" t="s">
        <v>120</v>
      </c>
      <c r="D569" s="5" t="s">
        <v>10</v>
      </c>
      <c r="E569" s="6" t="s">
        <v>11</v>
      </c>
      <c r="F569" s="4" t="s">
        <v>81</v>
      </c>
    </row>
    <row r="570" customFormat="false" ht="26.85" hidden="false" customHeight="false" outlineLevel="0" collapsed="false">
      <c r="A570" s="3" t="s">
        <v>7</v>
      </c>
      <c r="B570" s="3" t="s">
        <v>503</v>
      </c>
      <c r="C570" s="4" t="s">
        <v>122</v>
      </c>
      <c r="D570" s="7" t="s">
        <v>17</v>
      </c>
      <c r="E570" s="6" t="s">
        <v>18</v>
      </c>
      <c r="F570" s="4" t="s">
        <v>19</v>
      </c>
    </row>
    <row r="571" customFormat="false" ht="26.85" hidden="false" customHeight="false" outlineLevel="0" collapsed="false">
      <c r="A571" s="3" t="s">
        <v>7</v>
      </c>
      <c r="B571" s="3" t="s">
        <v>503</v>
      </c>
      <c r="C571" s="4" t="s">
        <v>123</v>
      </c>
      <c r="D571" s="7" t="s">
        <v>17</v>
      </c>
      <c r="E571" s="6" t="s">
        <v>18</v>
      </c>
      <c r="F571" s="4" t="s">
        <v>19</v>
      </c>
    </row>
    <row r="572" customFormat="false" ht="26.85" hidden="false" customHeight="false" outlineLevel="0" collapsed="false">
      <c r="A572" s="3" t="s">
        <v>500</v>
      </c>
      <c r="B572" s="3" t="s">
        <v>21</v>
      </c>
      <c r="C572" s="4" t="s">
        <v>22</v>
      </c>
      <c r="D572" s="5" t="s">
        <v>10</v>
      </c>
      <c r="E572" s="6" t="s">
        <v>11</v>
      </c>
      <c r="F572" s="4" t="s">
        <v>23</v>
      </c>
    </row>
    <row r="573" customFormat="false" ht="26.85" hidden="false" customHeight="false" outlineLevel="0" collapsed="false">
      <c r="A573" s="3" t="s">
        <v>500</v>
      </c>
      <c r="B573" s="3" t="s">
        <v>21</v>
      </c>
      <c r="C573" s="4" t="s">
        <v>24</v>
      </c>
      <c r="D573" s="5" t="s">
        <v>10</v>
      </c>
      <c r="E573" s="6" t="s">
        <v>11</v>
      </c>
      <c r="F573" s="4" t="s">
        <v>25</v>
      </c>
    </row>
    <row r="574" customFormat="false" ht="26.85" hidden="false" customHeight="false" outlineLevel="0" collapsed="false">
      <c r="A574" s="3" t="s">
        <v>500</v>
      </c>
      <c r="B574" s="3" t="s">
        <v>21</v>
      </c>
      <c r="C574" s="4" t="s">
        <v>26</v>
      </c>
      <c r="D574" s="5" t="s">
        <v>10</v>
      </c>
      <c r="E574" s="6" t="s">
        <v>11</v>
      </c>
      <c r="F574" s="4" t="s">
        <v>23</v>
      </c>
    </row>
    <row r="575" customFormat="false" ht="26.85" hidden="false" customHeight="false" outlineLevel="0" collapsed="false">
      <c r="A575" s="3" t="s">
        <v>500</v>
      </c>
      <c r="B575" s="3" t="s">
        <v>21</v>
      </c>
      <c r="C575" s="4" t="s">
        <v>27</v>
      </c>
      <c r="D575" s="5" t="s">
        <v>10</v>
      </c>
      <c r="E575" s="6" t="s">
        <v>11</v>
      </c>
      <c r="F575" s="4" t="s">
        <v>25</v>
      </c>
    </row>
    <row r="576" customFormat="false" ht="26.85" hidden="false" customHeight="false" outlineLevel="0" collapsed="false">
      <c r="A576" s="3" t="s">
        <v>500</v>
      </c>
      <c r="B576" s="3" t="s">
        <v>21</v>
      </c>
      <c r="C576" s="4" t="s">
        <v>28</v>
      </c>
      <c r="D576" s="7" t="s">
        <v>17</v>
      </c>
      <c r="E576" s="6" t="s">
        <v>18</v>
      </c>
      <c r="F576" s="4" t="s">
        <v>19</v>
      </c>
    </row>
  </sheetData>
  <autoFilter ref="A2:F576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9" t="s">
        <v>504</v>
      </c>
    </row>
    <row r="2" customFormat="false" ht="30" hidden="false" customHeight="true" outlineLevel="0" collapsed="false">
      <c r="A2" s="10" t="s">
        <v>0</v>
      </c>
      <c r="B2" s="10"/>
      <c r="C2" s="10"/>
    </row>
    <row r="4" customFormat="false" ht="15" hidden="false" customHeight="false" outlineLevel="0" collapsed="false">
      <c r="A4" s="11" t="s">
        <v>505</v>
      </c>
    </row>
    <row r="5" customFormat="false" ht="15" hidden="false" customHeight="false" outlineLevel="0" collapsed="false">
      <c r="A5" s="12" t="s">
        <v>506</v>
      </c>
      <c r="B5" s="13" t="n">
        <f aca="false">COUNTIF(Overzicht!$D$3:$D$576,"AI")</f>
        <v>188</v>
      </c>
      <c r="C5" s="14" t="n">
        <f aca="false">COUNTIF(Overzicht!$D$3:$D$576,"AI")/COUNTA(Overzicht!$D$3:$D$576)</f>
        <v>0.327526132404181</v>
      </c>
    </row>
    <row r="6" customFormat="false" ht="15" hidden="false" customHeight="false" outlineLevel="0" collapsed="false">
      <c r="A6" s="15" t="s">
        <v>507</v>
      </c>
      <c r="B6" s="13" t="n">
        <f aca="false">COUNTIF(Overzicht!$D$3:$D$576,"Hybride")</f>
        <v>371</v>
      </c>
      <c r="C6" s="14" t="n">
        <f aca="false">COUNTIF(Overzicht!$D$3:$D$576,"Hybride")/COUNTA(Overzicht!$D$3:$D$576)</f>
        <v>0.646341463414634</v>
      </c>
    </row>
    <row r="7" customFormat="false" ht="15" hidden="false" customHeight="false" outlineLevel="0" collapsed="false">
      <c r="A7" s="16" t="s">
        <v>508</v>
      </c>
      <c r="B7" s="13" t="n">
        <f aca="false">COUNTIF(Overzicht!$D$3:$D$576,"Mens")</f>
        <v>15</v>
      </c>
      <c r="C7" s="14" t="n">
        <f aca="false">COUNTIF(Overzicht!$D$3:$D$576,"Mens")/COUNTA(Overzicht!$D$3:$D$576)</f>
        <v>0.0261324041811847</v>
      </c>
    </row>
    <row r="8" customFormat="false" ht="15" hidden="false" customHeight="false" outlineLevel="0" collapsed="false">
      <c r="A8" s="11" t="s">
        <v>509</v>
      </c>
      <c r="B8" s="11" t="n">
        <f aca="false">COUNTA(Overzicht!$D$3:$D$576)</f>
        <v>574</v>
      </c>
    </row>
    <row r="10" customFormat="false" ht="15" hidden="false" customHeight="false" outlineLevel="0" collapsed="false">
      <c r="A10" s="11" t="s">
        <v>510</v>
      </c>
    </row>
    <row r="11" customFormat="false" ht="15" hidden="false" customHeight="false" outlineLevel="0" collapsed="false">
      <c r="A11" s="13" t="s">
        <v>511</v>
      </c>
    </row>
    <row r="12" customFormat="false" ht="15" hidden="false" customHeight="false" outlineLevel="0" collapsed="false">
      <c r="A12" s="13" t="s">
        <v>512</v>
      </c>
    </row>
    <row r="13" customFormat="false" ht="15" hidden="false" customHeight="false" outlineLevel="0" collapsed="false">
      <c r="A13" s="13" t="s">
        <v>513</v>
      </c>
    </row>
    <row r="14" customFormat="false" ht="15" hidden="false" customHeight="false" outlineLevel="0" collapsed="false">
      <c r="A14" s="13" t="s">
        <v>514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2026-06-27T00:08:11Z</dcterms:created>
  <dc:creator>openpyxl</dc:creator>
  <dc:description/>
  <dc:language>en-US</dc:language>
  <cp:lastModifiedBy/>
  <dcterms:modified xsi:type="dcterms:W3CDTF">2026-06-27T00:08:12Z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