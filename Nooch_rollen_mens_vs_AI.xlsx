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Samenvatting" sheetId="2" state="visible" r:id="rId4"/>
  </sheets>
  <definedNames>
    <definedName function="false" hidden="true" localSheetId="0" name="_xlnm._FilterDatabase" vbProcedure="false">Overzicht!$A$1:$G$73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<sst xmlns="http://schemas.openxmlformats.org/spreadsheetml/2006/main" count="534" uniqueCount="186">
  <si>
    <t xml:space="preserve">Cirkel</t>
  </si>
  <si>
    <t xml:space="preserve">Rol</t>
  </si>
  <si>
    <t xml:space="preserve">Bezet door</t>
  </si>
  <si>
    <t xml:space="preserve">Accountability</t>
  </si>
  <si>
    <t xml:space="preserve">Uitvoerder</t>
  </si>
  <si>
    <t xml:space="preserve">AI-rijpheid</t>
  </si>
  <si>
    <t xml:space="preserve">Waarom</t>
  </si>
  <si>
    <t xml:space="preserve">Mother Earth</t>
  </si>
  <si>
    <t xml:space="preserve">Circle Lead</t>
  </si>
  <si>
    <t xml:space="preserve">ONBEMAND</t>
  </si>
  <si>
    <t xml:space="preserve">Rolverdeling, prioriteiten en middelen (Circle Lead)</t>
  </si>
  <si>
    <t xml:space="preserve">Mens</t>
  </si>
  <si>
    <t xml:space="preserve">-</t>
  </si>
  <si>
    <t xml:space="preserve">Leiderschap: mensen aan rollen koppelen en prioriteren.</t>
  </si>
  <si>
    <t xml:space="preserve">Facilitator</t>
  </si>
  <si>
    <t xml:space="preserve">Faciliteren van de Tactical Meetings</t>
  </si>
  <si>
    <t xml:space="preserve">AI</t>
  </si>
  <si>
    <t xml:space="preserve">Nu</t>
  </si>
  <si>
    <t xml:space="preserve">Procesrol: agenda, rondes en tijd bewaken is regelgestuurd.</t>
  </si>
  <si>
    <t xml:space="preserve">Faciliteren van het Governance-proces</t>
  </si>
  <si>
    <t xml:space="preserve">Deterministische poort (G0-G4) — dit is al onze Facilitator-agent.</t>
  </si>
  <si>
    <t xml:space="preserve">Nieuwe verkiezingen triggeren na afloop van de termijn</t>
  </si>
  <si>
    <t xml:space="preserve">Tijdgestuurde trigger.</t>
  </si>
  <si>
    <t xml:space="preserve">Auditen van sub-circle meetings/records, Process Breakdown verklaren</t>
  </si>
  <si>
    <t xml:space="preserve">Hybride</t>
  </si>
  <si>
    <t xml:space="preserve">Begeleid</t>
  </si>
  <si>
    <t xml:space="preserve">AI signaleert afwijkingen; mens verklaart de breakdown.</t>
  </si>
  <si>
    <t xml:space="preserve">Secretary</t>
  </si>
  <si>
    <t xml:space="preserve">Tactical Meetings inplannen</t>
  </si>
  <si>
    <t xml:space="preserve">Plannen/agenderen.</t>
  </si>
  <si>
    <t xml:space="preserve">Tactical-output vastleggen en publiceren</t>
  </si>
  <si>
    <t xml:space="preserve">Notuleren en publiceren.</t>
  </si>
  <si>
    <t xml:space="preserve">Governance Meetings inplannen</t>
  </si>
  <si>
    <t xml:space="preserve">Governance-output vastleggen en publiceren</t>
  </si>
  <si>
    <t xml:space="preserve">Constitutie interpreteren op verzoek</t>
  </si>
  <si>
    <t xml:space="preserve">AI antwoordt uit de tekst; randgevallen naar mens.</t>
  </si>
  <si>
    <t xml:space="preserve">Shareholder</t>
  </si>
  <si>
    <t xml:space="preserve">Lotte Mulder, Stefan Wobben</t>
  </si>
  <si>
    <t xml:space="preserve">Circle lead toewijzen of verwijderen</t>
  </si>
  <si>
    <t xml:space="preserve">Formele zeggenschap.</t>
  </si>
  <si>
    <t xml:space="preserve">Bedrijfspurpose en accountabilities definiëren</t>
  </si>
  <si>
    <t xml:space="preserve">Missie-eigenaarschap.</t>
  </si>
  <si>
    <t xml:space="preserve">Documenten tekenen voor juridische verantwoordelijkheid</t>
  </si>
  <si>
    <t xml:space="preserve">Juridische handtekening.</t>
  </si>
  <si>
    <t xml:space="preserve">Nooch</t>
  </si>
  <si>
    <t xml:space="preserve">Brand &amp; Visual Designer</t>
  </si>
  <si>
    <t xml:space="preserve">Lotte Mulder</t>
  </si>
  <si>
    <t xml:space="preserve">Alle visuele assets maken (ads, socials, emails, packaging)</t>
  </si>
  <si>
    <t xml:space="preserve">AI genereert varianten; mens kiest op merksmaak.</t>
  </si>
  <si>
    <t xml:space="preserve">De visuele identiteit bewaken en doorontwikkelen</t>
  </si>
  <si>
    <t xml:space="preserve">Identiteit = menselijk oordeel, AI assisteert.</t>
  </si>
  <si>
    <t xml:space="preserve">Merkmateriaal voor marketing &amp; community produceren</t>
  </si>
  <si>
    <t xml:space="preserve">AI produceert, mens keurt goed.</t>
  </si>
  <si>
    <t xml:space="preserve">Visuals leveren voor website en productpagina</t>
  </si>
  <si>
    <t xml:space="preserve">AI maakt, mens reviewt.</t>
  </si>
  <si>
    <t xml:space="preserve">Alle merkbestanden geordend en vindbaar houden</t>
  </si>
  <si>
    <t xml:space="preserve">Bestandsbeheer en tagging.</t>
  </si>
  <si>
    <t xml:space="preserve">Carbon Footprint Improver</t>
  </si>
  <si>
    <t xml:space="preserve">Volledig inzicht in de CO2-voetafdruk van alle producten</t>
  </si>
  <si>
    <t xml:space="preserve">Data-aggregatie / LCA-berekening.</t>
  </si>
  <si>
    <t xml:space="preserve">Kansen vinden en uitvoeren om de voetafdruk te verlagen</t>
  </si>
  <si>
    <t xml:space="preserve">AI vindt kansen; uitvoeren raakt leveranciers/mens.</t>
  </si>
  <si>
    <t xml:space="preserve">Samenwerken om duurzaamheid, kosten en snelheid te balanceren</t>
  </si>
  <si>
    <t xml:space="preserve">Afwegingen en onderhandeling.</t>
  </si>
  <si>
    <t xml:space="preserve">Leiderschap.</t>
  </si>
  <si>
    <t xml:space="preserve">Circle Rep</t>
  </si>
  <si>
    <t xml:space="preserve">Spanningen van Role Leads begrijpen</t>
  </si>
  <si>
    <t xml:space="preserve">AI verzamelt/clustert; vertegenwoordigen is menselijk.</t>
  </si>
  <si>
    <t xml:space="preserve">Onderscheiden welke spanningen in de bredere cirkel horen</t>
  </si>
  <si>
    <t xml:space="preserve">AI sorteert; mens beoordeelt.</t>
  </si>
  <si>
    <t xml:space="preserve">Spanningen in de bredere cirkel verwerken</t>
  </si>
  <si>
    <t xml:space="preserve">Vertegenwoordiging / relatie.</t>
  </si>
  <si>
    <t xml:space="preserve">Community and Email</t>
  </si>
  <si>
    <t xml:space="preserve">Nina Wolter</t>
  </si>
  <si>
    <t xml:space="preserve">Email-flows &amp; updates schrijven</t>
  </si>
  <si>
    <t xml:space="preserve">Copy-drafting; mens doet tonecheck.</t>
  </si>
  <si>
    <t xml:space="preserve">Klantcommunicatie beheren</t>
  </si>
  <si>
    <t xml:space="preserve">AI triage/draft; gevoelige gevallen naar mens.</t>
  </si>
  <si>
    <t xml:space="preserve">De community betrokken en geïnformeerd houden</t>
  </si>
  <si>
    <t xml:space="preserve">AI plant/draft; mens brengt echtheid.</t>
  </si>
  <si>
    <t xml:space="preserve">Creator of Shoes</t>
  </si>
  <si>
    <t xml:space="preserve">Nieuwe schoenmodellen &amp; colorways ontwerpen</t>
  </si>
  <si>
    <t xml:space="preserve">AI genereert concepten; mens beslist esthetiek/haalbaarheid.</t>
  </si>
  <si>
    <t xml:space="preserve">Met leveranciers werken aan materialen en werkwijzen</t>
  </si>
  <si>
    <t xml:space="preserve">Relatie, onderhandeling, fysieke materialen.</t>
  </si>
  <si>
    <t xml:space="preserve">Productkwaliteit en samples beoordelen</t>
  </si>
  <si>
    <t xml:space="preserve">Fysiek, tactiel oordeel.</t>
  </si>
  <si>
    <t xml:space="preserve">Gebruikersfeedback vertalen naar volgende iteraties</t>
  </si>
  <si>
    <t xml:space="preserve">AI synthetiseert feedback; mens beslist.</t>
  </si>
  <si>
    <t xml:space="preserve">Stefan Wobben</t>
  </si>
  <si>
    <t xml:space="preserve">Factory Development Specialist</t>
  </si>
  <si>
    <t xml:space="preserve">Frequente, proactieve communicatie met de fabriek</t>
  </si>
  <si>
    <t xml:space="preserve">Relatie = mens; AI kan draften en bijhouden.</t>
  </si>
  <si>
    <t xml:space="preserve">Orders accuraat en volgens specificatie plaatsen</t>
  </si>
  <si>
    <t xml:space="preserve">AI checkt specs/data; mens bevestigt.</t>
  </si>
  <si>
    <t xml:space="preserve">Verifiëren dat productie ready-to-go en op schema is</t>
  </si>
  <si>
    <t xml:space="preserve">AI volgt de timeline; mens verifieert fysiek.</t>
  </si>
  <si>
    <t xml:space="preserve">Een high-trust langetermijnrelatie met de fabriek opbouwen</t>
  </si>
  <si>
    <t xml:space="preserve">Vertrouwensrelatie.</t>
  </si>
  <si>
    <t xml:space="preserve">Financial Controller</t>
  </si>
  <si>
    <t xml:space="preserve">Het operationele budget ontwerpen en beheren</t>
  </si>
  <si>
    <t xml:space="preserve">AI modelleert; mens keurt goed.</t>
  </si>
  <si>
    <t xml:space="preserve">Uitgaven monitoren t.o.v. de financiële doelen</t>
  </si>
  <si>
    <t xml:space="preserve">Data-monitoring en alerts.</t>
  </si>
  <si>
    <t xml:space="preserve">Financiële helderheid bieden aan andere rollen</t>
  </si>
  <si>
    <t xml:space="preserve">Rapportage; mens geeft context.</t>
  </si>
  <si>
    <t xml:space="preserve">Inmate in residence</t>
  </si>
  <si>
    <t xml:space="preserve">Een geprioriteerde lijst met aandacht-trekkende ideeën bijhouden</t>
  </si>
  <si>
    <t xml:space="preserve">Idee-generatie en ranking.</t>
  </si>
  <si>
    <t xml:space="preserve">Stunts coördineren en uitvoeren</t>
  </si>
  <si>
    <t xml:space="preserve">Fysiek, in de echte wereld.</t>
  </si>
  <si>
    <t xml:space="preserve">Persrelaties informeren over stunts</t>
  </si>
  <si>
    <t xml:space="preserve">AI draft; mens onderhoudt relaties.</t>
  </si>
  <si>
    <t xml:space="preserve">Bad-ass guerrilla stunt-ideeën genereren</t>
  </si>
  <si>
    <t xml:space="preserve">AI brainstormt; mens kiest (smaak/risico).</t>
  </si>
  <si>
    <t xml:space="preserve">Geweldige mensen vinden en recruiten voor stunts</t>
  </si>
  <si>
    <t xml:space="preserve">Relationeel.</t>
  </si>
  <si>
    <t xml:space="preserve">Een paar keer per jaar gearresteerd worden voor de goede zaak</t>
  </si>
  <si>
    <t xml:space="preserve">Letterlijk menselijk (en juridisch).</t>
  </si>
  <si>
    <t xml:space="preserve">Marketing Lead</t>
  </si>
  <si>
    <t xml:space="preserve">Matthijs Boesten</t>
  </si>
  <si>
    <t xml:space="preserve">Marketingcampagnes plannen en uitvoeren</t>
  </si>
  <si>
    <t xml:space="preserve">AI plant/optimaliseert; mens bepaalt strategie en akkoord.</t>
  </si>
  <si>
    <t xml:space="preserve">Prestaties volgen en inzichten delen</t>
  </si>
  <si>
    <t xml:space="preserve">Analytics.</t>
  </si>
  <si>
    <t xml:space="preserve">Betaalde &amp; organische kanalen beheren</t>
  </si>
  <si>
    <t xml:space="preserve">AI voert uit/optimaliseert; mens bewaakt budget/merk.</t>
  </si>
  <si>
    <t xml:space="preserve">Mother Earth Steward</t>
  </si>
  <si>
    <t xml:space="preserve">Bewustzijn vergroten van planetaire effecten op beslissingen</t>
  </si>
  <si>
    <t xml:space="preserve">AI brengt data/impact in beeld; mens agendeert.</t>
  </si>
  <si>
    <t xml:space="preserve">Consent onthouden bij negatieve planetaire effecten</t>
  </si>
  <si>
    <t xml:space="preserve">Consent/veto = zeggenschap én waarden-oordeel.</t>
  </si>
  <si>
    <t xml:space="preserve">Strategic Lead &amp; Founder Steward</t>
  </si>
  <si>
    <t xml:space="preserve">De algehele bedrijfsstrategie en prioriteiten vormgeven</t>
  </si>
  <si>
    <t xml:space="preserve">Oprichtersoordeel; AI assisteert de analyse.</t>
  </si>
  <si>
    <t xml:space="preserve">Het Nooch-verhaal vertellen (pers, investeerders, community)</t>
  </si>
  <si>
    <t xml:space="preserve">Authentieke stem; AI kan draften.</t>
  </si>
  <si>
    <t xml:space="preserve">Fundraising en financiële strategie leiden</t>
  </si>
  <si>
    <t xml:space="preserve">Investeerdersrelaties en vertrouwen.</t>
  </si>
  <si>
    <t xml:space="preserve">Missie, waarden en langetermijnprincipes bewaken</t>
  </si>
  <si>
    <t xml:space="preserve">Waardenbewaking.</t>
  </si>
  <si>
    <t xml:space="preserve">Nooch extern vertegenwoordigen bij partners/media/stakeholders</t>
  </si>
  <si>
    <t xml:space="preserve">Relaties.</t>
  </si>
  <si>
    <t xml:space="preserve">Supply Chain Coordinator</t>
  </si>
  <si>
    <t xml:space="preserve">Wytse Valkema</t>
  </si>
  <si>
    <t xml:space="preserve">Volledig zicht houden op de supply chain (timing, contacten, status, kosten)</t>
  </si>
  <si>
    <t xml:space="preserve">Data-aggregatie en dashboard.</t>
  </si>
  <si>
    <t xml:space="preserve">Processen op schema en op kwaliteit houden</t>
  </si>
  <si>
    <t xml:space="preserve">AI monitort; mens grijpt in.</t>
  </si>
  <si>
    <t xml:space="preserve">Leveranciers op de hoogte houden van behoeften en wijzigingen</t>
  </si>
  <si>
    <t xml:space="preserve">AI draft/verstuurt; mens onderhoudt relatie.</t>
  </si>
  <si>
    <t xml:space="preserve">Risico's en bottlenecks vroeg signaleren en mitigeren</t>
  </si>
  <si>
    <t xml:space="preserve">AI detecteert; mens mitigeert.</t>
  </si>
  <si>
    <t xml:space="preserve">Website Developer</t>
  </si>
  <si>
    <t xml:space="preserve">Stefan Wobben, Dan Morgan</t>
  </si>
  <si>
    <t xml:space="preserve">Nieuwe features bouwen</t>
  </si>
  <si>
    <t xml:space="preserve">AI codeert; mens reviewt en deployt.</t>
  </si>
  <si>
    <t xml:space="preserve">Website-performance optimaliseren</t>
  </si>
  <si>
    <t xml:space="preserve">AI optimaliseert; mens reviewt.</t>
  </si>
  <si>
    <t xml:space="preserve">Bugs fixen</t>
  </si>
  <si>
    <t xml:space="preserve">AI stelt fixes voor; mens merget.</t>
  </si>
  <si>
    <t xml:space="preserve">Een backlog van issues bijhouden</t>
  </si>
  <si>
    <t xml:space="preserve">Triage en tracking.</t>
  </si>
  <si>
    <t xml:space="preserve">Nooch — mens vs. AI per accountability</t>
  </si>
  <si>
    <t xml:space="preserve">Verdeling van alle accountabilities</t>
  </si>
  <si>
    <t xml:space="preserve">AI (autonoom door een agent)</t>
  </si>
  <si>
    <t xml:space="preserve">Hybride (AI doet voorwerk, mens beslist/handelt)</t>
  </si>
  <si>
    <t xml:space="preserve">Mens (moet door een mens)</t>
  </si>
  <si>
    <t xml:space="preserve">Totaal accountabilities</t>
  </si>
  <si>
    <t xml:space="preserve">Kernconclusie</t>
  </si>
  <si>
    <t xml:space="preserve">Het leeuwendeel is óf volledig automatiseerbaar (AI) óf hybride: AI doet het voorwerk,</t>
  </si>
  <si>
    <t xml:space="preserve">de mens beslist of voert het relationele/fysieke deel uit. Puur menselijk blijft: zeggenschap</t>
  </si>
  <si>
    <t xml:space="preserve">(consent, tekenen, circle lead), vertrouwensrelaties (fabriek, leveranciers, investeerders),</t>
  </si>
  <si>
    <t xml:space="preserve">fysiek/tactiel werk (samples, stunts) en de bewaking van missie &amp; waarden.</t>
  </si>
  <si>
    <t xml:space="preserve">Onbemande rollen = directe AI-kandidaten</t>
  </si>
  <si>
    <t xml:space="preserve">Deze rollen vervult nu niemand. Juist hier kan een AI-agent meteen waarde leveren:</t>
  </si>
  <si>
    <t xml:space="preserve">• Facilitator (Mother Earth &amp; Nooch)</t>
  </si>
  <si>
    <t xml:space="preserve">Bijna volledig AI: procesrol, regelgestuurd.</t>
  </si>
  <si>
    <t xml:space="preserve">• Secretary (Mother Earth &amp; Nooch)</t>
  </si>
  <si>
    <t xml:space="preserve">Volledig AI: plannen, notuleren, publiceren, opzoeken.</t>
  </si>
  <si>
    <t xml:space="preserve">• Circle Rep</t>
  </si>
  <si>
    <t xml:space="preserve">Hybride: AI clustert spanningen, mens vertegenwoordigt.</t>
  </si>
  <si>
    <t xml:space="preserve">• Factory Development Specialist</t>
  </si>
  <si>
    <t xml:space="preserve">Hybride: AI bewaakt orders/timing, mens onderhoudt de relatie.</t>
  </si>
  <si>
    <t xml:space="preserve">• Inmate in residence</t>
  </si>
  <si>
    <t xml:space="preserve">Hybride: AI bedenkt &amp; prioriteert stunts, mens voert ze fysiek uit.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</si>
</sst>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B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23A"/>
        <bgColor rgb="FF003366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4C0"/>
      </left>
      <right style="thin">
        <color rgb="FFDDD4C0"/>
      </right>
      <top style="thin">
        <color rgb="FFDDD4C0"/>
      </top>
      <bottom style="thin">
        <color rgb="FFDDD4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632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6100"/>
      <rgbColor rgb="FF000080"/>
      <rgbColor rgb="FF9C6500"/>
      <rgbColor rgb="FF800080"/>
      <rgbColor rgb="FF008080"/>
      <rgbColor rgb="FFDDD4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63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5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4" t="s">
        <v>13</v>
      </c>
    </row>
    <row r="3" customFormat="false" ht="26.85" hidden="false" customHeight="false" outlineLevel="0" collapsed="false">
      <c r="A3" s="2" t="s">
        <v>7</v>
      </c>
      <c r="B3" s="2" t="s">
        <v>14</v>
      </c>
      <c r="C3" s="3" t="s">
        <v>9</v>
      </c>
      <c r="D3" s="4" t="s">
        <v>15</v>
      </c>
      <c r="E3" s="7" t="s">
        <v>16</v>
      </c>
      <c r="F3" s="6" t="s">
        <v>17</v>
      </c>
      <c r="G3" s="4" t="s">
        <v>18</v>
      </c>
    </row>
    <row r="4" customFormat="false" ht="26.85" hidden="false" customHeight="false" outlineLevel="0" collapsed="false">
      <c r="A4" s="2" t="s">
        <v>7</v>
      </c>
      <c r="B4" s="2" t="s">
        <v>14</v>
      </c>
      <c r="C4" s="3" t="s">
        <v>9</v>
      </c>
      <c r="D4" s="4" t="s">
        <v>19</v>
      </c>
      <c r="E4" s="7" t="s">
        <v>16</v>
      </c>
      <c r="F4" s="6" t="s">
        <v>17</v>
      </c>
      <c r="G4" s="4" t="s">
        <v>20</v>
      </c>
    </row>
    <row r="5" customFormat="false" ht="15" hidden="false" customHeight="false" outlineLevel="0" collapsed="false">
      <c r="A5" s="2" t="s">
        <v>7</v>
      </c>
      <c r="B5" s="2" t="s">
        <v>14</v>
      </c>
      <c r="C5" s="3" t="s">
        <v>9</v>
      </c>
      <c r="D5" s="4" t="s">
        <v>21</v>
      </c>
      <c r="E5" s="7" t="s">
        <v>16</v>
      </c>
      <c r="F5" s="6" t="s">
        <v>17</v>
      </c>
      <c r="G5" s="4" t="s">
        <v>22</v>
      </c>
    </row>
    <row r="6" customFormat="false" ht="26.85" hidden="false" customHeight="false" outlineLevel="0" collapsed="false">
      <c r="A6" s="2" t="s">
        <v>7</v>
      </c>
      <c r="B6" s="2" t="s">
        <v>14</v>
      </c>
      <c r="C6" s="3" t="s">
        <v>9</v>
      </c>
      <c r="D6" s="4" t="s">
        <v>23</v>
      </c>
      <c r="E6" s="8" t="s">
        <v>24</v>
      </c>
      <c r="F6" s="6" t="s">
        <v>25</v>
      </c>
      <c r="G6" s="4" t="s">
        <v>26</v>
      </c>
    </row>
    <row r="7" customFormat="false" ht="15" hidden="false" customHeight="false" outlineLevel="0" collapsed="false">
      <c r="A7" s="2" t="s">
        <v>7</v>
      </c>
      <c r="B7" s="2" t="s">
        <v>27</v>
      </c>
      <c r="C7" s="3" t="s">
        <v>9</v>
      </c>
      <c r="D7" s="4" t="s">
        <v>28</v>
      </c>
      <c r="E7" s="7" t="s">
        <v>16</v>
      </c>
      <c r="F7" s="6" t="s">
        <v>17</v>
      </c>
      <c r="G7" s="4" t="s">
        <v>29</v>
      </c>
    </row>
    <row r="8" customFormat="false" ht="15" hidden="false" customHeight="false" outlineLevel="0" collapsed="false">
      <c r="A8" s="2" t="s">
        <v>7</v>
      </c>
      <c r="B8" s="2" t="s">
        <v>27</v>
      </c>
      <c r="C8" s="3" t="s">
        <v>9</v>
      </c>
      <c r="D8" s="4" t="s">
        <v>30</v>
      </c>
      <c r="E8" s="7" t="s">
        <v>16</v>
      </c>
      <c r="F8" s="6" t="s">
        <v>17</v>
      </c>
      <c r="G8" s="4" t="s">
        <v>31</v>
      </c>
    </row>
    <row r="9" customFormat="false" ht="15" hidden="false" customHeight="false" outlineLevel="0" collapsed="false">
      <c r="A9" s="2" t="s">
        <v>7</v>
      </c>
      <c r="B9" s="2" t="s">
        <v>27</v>
      </c>
      <c r="C9" s="3" t="s">
        <v>9</v>
      </c>
      <c r="D9" s="4" t="s">
        <v>32</v>
      </c>
      <c r="E9" s="7" t="s">
        <v>16</v>
      </c>
      <c r="F9" s="6" t="s">
        <v>17</v>
      </c>
      <c r="G9" s="4" t="s">
        <v>29</v>
      </c>
    </row>
    <row r="10" customFormat="false" ht="15" hidden="false" customHeight="false" outlineLevel="0" collapsed="false">
      <c r="A10" s="2" t="s">
        <v>7</v>
      </c>
      <c r="B10" s="2" t="s">
        <v>27</v>
      </c>
      <c r="C10" s="3" t="s">
        <v>9</v>
      </c>
      <c r="D10" s="4" t="s">
        <v>33</v>
      </c>
      <c r="E10" s="7" t="s">
        <v>16</v>
      </c>
      <c r="F10" s="6" t="s">
        <v>17</v>
      </c>
      <c r="G10" s="4" t="s">
        <v>31</v>
      </c>
    </row>
    <row r="11" customFormat="false" ht="15" hidden="false" customHeight="false" outlineLevel="0" collapsed="false">
      <c r="A11" s="2" t="s">
        <v>7</v>
      </c>
      <c r="B11" s="2" t="s">
        <v>27</v>
      </c>
      <c r="C11" s="3" t="s">
        <v>9</v>
      </c>
      <c r="D11" s="4" t="s">
        <v>34</v>
      </c>
      <c r="E11" s="8" t="s">
        <v>24</v>
      </c>
      <c r="F11" s="6" t="s">
        <v>25</v>
      </c>
      <c r="G11" s="4" t="s">
        <v>35</v>
      </c>
    </row>
    <row r="12" customFormat="false" ht="15" hidden="false" customHeight="false" outlineLevel="0" collapsed="false">
      <c r="A12" s="2" t="s">
        <v>7</v>
      </c>
      <c r="B12" s="2" t="s">
        <v>36</v>
      </c>
      <c r="C12" s="2" t="s">
        <v>37</v>
      </c>
      <c r="D12" s="4" t="s">
        <v>38</v>
      </c>
      <c r="E12" s="5" t="s">
        <v>11</v>
      </c>
      <c r="F12" s="6" t="s">
        <v>12</v>
      </c>
      <c r="G12" s="4" t="s">
        <v>39</v>
      </c>
    </row>
    <row r="13" customFormat="false" ht="15" hidden="false" customHeight="false" outlineLevel="0" collapsed="false">
      <c r="A13" s="2" t="s">
        <v>7</v>
      </c>
      <c r="B13" s="2" t="s">
        <v>36</v>
      </c>
      <c r="C13" s="2" t="s">
        <v>37</v>
      </c>
      <c r="D13" s="4" t="s">
        <v>40</v>
      </c>
      <c r="E13" s="5" t="s">
        <v>11</v>
      </c>
      <c r="F13" s="6" t="s">
        <v>12</v>
      </c>
      <c r="G13" s="4" t="s">
        <v>41</v>
      </c>
    </row>
    <row r="14" customFormat="false" ht="26.85" hidden="false" customHeight="false" outlineLevel="0" collapsed="false">
      <c r="A14" s="2" t="s">
        <v>7</v>
      </c>
      <c r="B14" s="2" t="s">
        <v>36</v>
      </c>
      <c r="C14" s="2" t="s">
        <v>37</v>
      </c>
      <c r="D14" s="4" t="s">
        <v>42</v>
      </c>
      <c r="E14" s="5" t="s">
        <v>11</v>
      </c>
      <c r="F14" s="6" t="s">
        <v>12</v>
      </c>
      <c r="G14" s="4" t="s">
        <v>43</v>
      </c>
    </row>
    <row r="15" customFormat="false" ht="26.85" hidden="false" customHeight="false" outlineLevel="0" collapsed="false">
      <c r="A15" s="2" t="s">
        <v>44</v>
      </c>
      <c r="B15" s="2" t="s">
        <v>45</v>
      </c>
      <c r="C15" s="2" t="s">
        <v>46</v>
      </c>
      <c r="D15" s="4" t="s">
        <v>47</v>
      </c>
      <c r="E15" s="8" t="s">
        <v>24</v>
      </c>
      <c r="F15" s="6" t="s">
        <v>17</v>
      </c>
      <c r="G15" s="4" t="s">
        <v>48</v>
      </c>
    </row>
    <row r="16" customFormat="false" ht="15" hidden="false" customHeight="false" outlineLevel="0" collapsed="false">
      <c r="A16" s="2" t="s">
        <v>44</v>
      </c>
      <c r="B16" s="2" t="s">
        <v>45</v>
      </c>
      <c r="C16" s="2" t="s">
        <v>46</v>
      </c>
      <c r="D16" s="4" t="s">
        <v>49</v>
      </c>
      <c r="E16" s="8" t="s">
        <v>24</v>
      </c>
      <c r="F16" s="6" t="s">
        <v>25</v>
      </c>
      <c r="G16" s="4" t="s">
        <v>50</v>
      </c>
    </row>
    <row r="17" customFormat="false" ht="15" hidden="false" customHeight="false" outlineLevel="0" collapsed="false">
      <c r="A17" s="2" t="s">
        <v>44</v>
      </c>
      <c r="B17" s="2" t="s">
        <v>45</v>
      </c>
      <c r="C17" s="2" t="s">
        <v>46</v>
      </c>
      <c r="D17" s="4" t="s">
        <v>51</v>
      </c>
      <c r="E17" s="8" t="s">
        <v>24</v>
      </c>
      <c r="F17" s="6" t="s">
        <v>17</v>
      </c>
      <c r="G17" s="4" t="s">
        <v>52</v>
      </c>
    </row>
    <row r="18" customFormat="false" ht="15" hidden="false" customHeight="false" outlineLevel="0" collapsed="false">
      <c r="A18" s="2" t="s">
        <v>44</v>
      </c>
      <c r="B18" s="2" t="s">
        <v>45</v>
      </c>
      <c r="C18" s="2" t="s">
        <v>46</v>
      </c>
      <c r="D18" s="4" t="s">
        <v>53</v>
      </c>
      <c r="E18" s="8" t="s">
        <v>24</v>
      </c>
      <c r="F18" s="6" t="s">
        <v>17</v>
      </c>
      <c r="G18" s="4" t="s">
        <v>54</v>
      </c>
    </row>
    <row r="19" customFormat="false" ht="15" hidden="false" customHeight="false" outlineLevel="0" collapsed="false">
      <c r="A19" s="2" t="s">
        <v>44</v>
      </c>
      <c r="B19" s="2" t="s">
        <v>45</v>
      </c>
      <c r="C19" s="2" t="s">
        <v>46</v>
      </c>
      <c r="D19" s="4" t="s">
        <v>55</v>
      </c>
      <c r="E19" s="7" t="s">
        <v>16</v>
      </c>
      <c r="F19" s="6" t="s">
        <v>17</v>
      </c>
      <c r="G19" s="4" t="s">
        <v>56</v>
      </c>
    </row>
    <row r="20" customFormat="false" ht="26.85" hidden="false" customHeight="false" outlineLevel="0" collapsed="false">
      <c r="A20" s="2" t="s">
        <v>44</v>
      </c>
      <c r="B20" s="2" t="s">
        <v>57</v>
      </c>
      <c r="C20" s="2" t="s">
        <v>46</v>
      </c>
      <c r="D20" s="4" t="s">
        <v>58</v>
      </c>
      <c r="E20" s="7" t="s">
        <v>16</v>
      </c>
      <c r="F20" s="6" t="s">
        <v>17</v>
      </c>
      <c r="G20" s="4" t="s">
        <v>59</v>
      </c>
    </row>
    <row r="21" customFormat="false" ht="26.85" hidden="false" customHeight="false" outlineLevel="0" collapsed="false">
      <c r="A21" s="2" t="s">
        <v>44</v>
      </c>
      <c r="B21" s="2" t="s">
        <v>57</v>
      </c>
      <c r="C21" s="2" t="s">
        <v>46</v>
      </c>
      <c r="D21" s="4" t="s">
        <v>60</v>
      </c>
      <c r="E21" s="8" t="s">
        <v>24</v>
      </c>
      <c r="F21" s="6" t="s">
        <v>25</v>
      </c>
      <c r="G21" s="4" t="s">
        <v>61</v>
      </c>
    </row>
    <row r="22" customFormat="false" ht="26.85" hidden="false" customHeight="false" outlineLevel="0" collapsed="false">
      <c r="A22" s="2" t="s">
        <v>44</v>
      </c>
      <c r="B22" s="2" t="s">
        <v>57</v>
      </c>
      <c r="C22" s="2" t="s">
        <v>46</v>
      </c>
      <c r="D22" s="4" t="s">
        <v>62</v>
      </c>
      <c r="E22" s="8" t="s">
        <v>24</v>
      </c>
      <c r="F22" s="6" t="s">
        <v>25</v>
      </c>
      <c r="G22" s="4" t="s">
        <v>63</v>
      </c>
    </row>
    <row r="23" customFormat="false" ht="15" hidden="false" customHeight="false" outlineLevel="0" collapsed="false">
      <c r="A23" s="2" t="s">
        <v>44</v>
      </c>
      <c r="B23" s="2" t="s">
        <v>8</v>
      </c>
      <c r="C23" s="2" t="s">
        <v>37</v>
      </c>
      <c r="D23" s="4" t="s">
        <v>10</v>
      </c>
      <c r="E23" s="5" t="s">
        <v>11</v>
      </c>
      <c r="F23" s="6" t="s">
        <v>12</v>
      </c>
      <c r="G23" s="4" t="s">
        <v>64</v>
      </c>
    </row>
    <row r="24" customFormat="false" ht="15" hidden="false" customHeight="false" outlineLevel="0" collapsed="false">
      <c r="A24" s="2" t="s">
        <v>44</v>
      </c>
      <c r="B24" s="2" t="s">
        <v>65</v>
      </c>
      <c r="C24" s="3" t="s">
        <v>9</v>
      </c>
      <c r="D24" s="4" t="s">
        <v>66</v>
      </c>
      <c r="E24" s="8" t="s">
        <v>24</v>
      </c>
      <c r="F24" s="6" t="s">
        <v>25</v>
      </c>
      <c r="G24" s="4" t="s">
        <v>67</v>
      </c>
    </row>
    <row r="25" customFormat="false" ht="26.85" hidden="false" customHeight="false" outlineLevel="0" collapsed="false">
      <c r="A25" s="2" t="s">
        <v>44</v>
      </c>
      <c r="B25" s="2" t="s">
        <v>65</v>
      </c>
      <c r="C25" s="3" t="s">
        <v>9</v>
      </c>
      <c r="D25" s="4" t="s">
        <v>68</v>
      </c>
      <c r="E25" s="8" t="s">
        <v>24</v>
      </c>
      <c r="F25" s="6" t="s">
        <v>25</v>
      </c>
      <c r="G25" s="4" t="s">
        <v>69</v>
      </c>
    </row>
    <row r="26" customFormat="false" ht="15" hidden="false" customHeight="false" outlineLevel="0" collapsed="false">
      <c r="A26" s="2" t="s">
        <v>44</v>
      </c>
      <c r="B26" s="2" t="s">
        <v>65</v>
      </c>
      <c r="C26" s="3" t="s">
        <v>9</v>
      </c>
      <c r="D26" s="4" t="s">
        <v>70</v>
      </c>
      <c r="E26" s="5" t="s">
        <v>11</v>
      </c>
      <c r="F26" s="6" t="s">
        <v>12</v>
      </c>
      <c r="G26" s="4" t="s">
        <v>71</v>
      </c>
    </row>
    <row r="27" customFormat="false" ht="15" hidden="false" customHeight="false" outlineLevel="0" collapsed="false">
      <c r="A27" s="2" t="s">
        <v>44</v>
      </c>
      <c r="B27" s="2" t="s">
        <v>72</v>
      </c>
      <c r="C27" s="2" t="s">
        <v>73</v>
      </c>
      <c r="D27" s="4" t="s">
        <v>74</v>
      </c>
      <c r="E27" s="7" t="s">
        <v>16</v>
      </c>
      <c r="F27" s="6" t="s">
        <v>17</v>
      </c>
      <c r="G27" s="4" t="s">
        <v>75</v>
      </c>
    </row>
    <row r="28" customFormat="false" ht="15" hidden="false" customHeight="false" outlineLevel="0" collapsed="false">
      <c r="A28" s="2" t="s">
        <v>44</v>
      </c>
      <c r="B28" s="2" t="s">
        <v>72</v>
      </c>
      <c r="C28" s="2" t="s">
        <v>73</v>
      </c>
      <c r="D28" s="4" t="s">
        <v>76</v>
      </c>
      <c r="E28" s="8" t="s">
        <v>24</v>
      </c>
      <c r="F28" s="6" t="s">
        <v>17</v>
      </c>
      <c r="G28" s="4" t="s">
        <v>77</v>
      </c>
    </row>
    <row r="29" customFormat="false" ht="15" hidden="false" customHeight="false" outlineLevel="0" collapsed="false">
      <c r="A29" s="2" t="s">
        <v>44</v>
      </c>
      <c r="B29" s="2" t="s">
        <v>72</v>
      </c>
      <c r="C29" s="2" t="s">
        <v>73</v>
      </c>
      <c r="D29" s="4" t="s">
        <v>78</v>
      </c>
      <c r="E29" s="8" t="s">
        <v>24</v>
      </c>
      <c r="F29" s="6" t="s">
        <v>25</v>
      </c>
      <c r="G29" s="4" t="s">
        <v>79</v>
      </c>
    </row>
    <row r="30" customFormat="false" ht="26.85" hidden="false" customHeight="false" outlineLevel="0" collapsed="false">
      <c r="A30" s="2" t="s">
        <v>44</v>
      </c>
      <c r="B30" s="2" t="s">
        <v>80</v>
      </c>
      <c r="C30" s="2" t="s">
        <v>46</v>
      </c>
      <c r="D30" s="4" t="s">
        <v>81</v>
      </c>
      <c r="E30" s="8" t="s">
        <v>24</v>
      </c>
      <c r="F30" s="6" t="s">
        <v>25</v>
      </c>
      <c r="G30" s="4" t="s">
        <v>82</v>
      </c>
    </row>
    <row r="31" customFormat="false" ht="15" hidden="false" customHeight="false" outlineLevel="0" collapsed="false">
      <c r="A31" s="2" t="s">
        <v>44</v>
      </c>
      <c r="B31" s="2" t="s">
        <v>80</v>
      </c>
      <c r="C31" s="2" t="s">
        <v>46</v>
      </c>
      <c r="D31" s="4" t="s">
        <v>83</v>
      </c>
      <c r="E31" s="5" t="s">
        <v>11</v>
      </c>
      <c r="F31" s="6" t="s">
        <v>12</v>
      </c>
      <c r="G31" s="4" t="s">
        <v>84</v>
      </c>
    </row>
    <row r="32" customFormat="false" ht="15" hidden="false" customHeight="false" outlineLevel="0" collapsed="false">
      <c r="A32" s="2" t="s">
        <v>44</v>
      </c>
      <c r="B32" s="2" t="s">
        <v>80</v>
      </c>
      <c r="C32" s="2" t="s">
        <v>46</v>
      </c>
      <c r="D32" s="4" t="s">
        <v>85</v>
      </c>
      <c r="E32" s="5" t="s">
        <v>11</v>
      </c>
      <c r="F32" s="6" t="s">
        <v>12</v>
      </c>
      <c r="G32" s="4" t="s">
        <v>86</v>
      </c>
    </row>
    <row r="33" customFormat="false" ht="15" hidden="false" customHeight="false" outlineLevel="0" collapsed="false">
      <c r="A33" s="2" t="s">
        <v>44</v>
      </c>
      <c r="B33" s="2" t="s">
        <v>80</v>
      </c>
      <c r="C33" s="2" t="s">
        <v>46</v>
      </c>
      <c r="D33" s="4" t="s">
        <v>87</v>
      </c>
      <c r="E33" s="8" t="s">
        <v>24</v>
      </c>
      <c r="F33" s="6" t="s">
        <v>17</v>
      </c>
      <c r="G33" s="4" t="s">
        <v>88</v>
      </c>
    </row>
    <row r="34" customFormat="false" ht="26.85" hidden="false" customHeight="false" outlineLevel="0" collapsed="false">
      <c r="A34" s="2" t="s">
        <v>44</v>
      </c>
      <c r="B34" s="2" t="s">
        <v>14</v>
      </c>
      <c r="C34" s="2" t="s">
        <v>89</v>
      </c>
      <c r="D34" s="4" t="s">
        <v>15</v>
      </c>
      <c r="E34" s="7" t="s">
        <v>16</v>
      </c>
      <c r="F34" s="6" t="s">
        <v>17</v>
      </c>
      <c r="G34" s="4" t="s">
        <v>18</v>
      </c>
    </row>
    <row r="35" customFormat="false" ht="26.85" hidden="false" customHeight="false" outlineLevel="0" collapsed="false">
      <c r="A35" s="2" t="s">
        <v>44</v>
      </c>
      <c r="B35" s="2" t="s">
        <v>14</v>
      </c>
      <c r="C35" s="2" t="s">
        <v>89</v>
      </c>
      <c r="D35" s="4" t="s">
        <v>19</v>
      </c>
      <c r="E35" s="7" t="s">
        <v>16</v>
      </c>
      <c r="F35" s="6" t="s">
        <v>17</v>
      </c>
      <c r="G35" s="4" t="s">
        <v>20</v>
      </c>
    </row>
    <row r="36" customFormat="false" ht="15" hidden="false" customHeight="false" outlineLevel="0" collapsed="false">
      <c r="A36" s="2" t="s">
        <v>44</v>
      </c>
      <c r="B36" s="2" t="s">
        <v>14</v>
      </c>
      <c r="C36" s="2" t="s">
        <v>89</v>
      </c>
      <c r="D36" s="4" t="s">
        <v>21</v>
      </c>
      <c r="E36" s="7" t="s">
        <v>16</v>
      </c>
      <c r="F36" s="6" t="s">
        <v>17</v>
      </c>
      <c r="G36" s="4" t="s">
        <v>22</v>
      </c>
    </row>
    <row r="37" customFormat="false" ht="26.85" hidden="false" customHeight="false" outlineLevel="0" collapsed="false">
      <c r="A37" s="2" t="s">
        <v>44</v>
      </c>
      <c r="B37" s="2" t="s">
        <v>14</v>
      </c>
      <c r="C37" s="2" t="s">
        <v>89</v>
      </c>
      <c r="D37" s="4" t="s">
        <v>23</v>
      </c>
      <c r="E37" s="8" t="s">
        <v>24</v>
      </c>
      <c r="F37" s="6" t="s">
        <v>25</v>
      </c>
      <c r="G37" s="4" t="s">
        <v>26</v>
      </c>
    </row>
    <row r="38" customFormat="false" ht="15" hidden="false" customHeight="false" outlineLevel="0" collapsed="false">
      <c r="A38" s="2" t="s">
        <v>44</v>
      </c>
      <c r="B38" s="2" t="s">
        <v>90</v>
      </c>
      <c r="C38" s="3" t="s">
        <v>9</v>
      </c>
      <c r="D38" s="4" t="s">
        <v>91</v>
      </c>
      <c r="E38" s="8" t="s">
        <v>24</v>
      </c>
      <c r="F38" s="6" t="s">
        <v>25</v>
      </c>
      <c r="G38" s="4" t="s">
        <v>92</v>
      </c>
    </row>
    <row r="39" customFormat="false" ht="15" hidden="false" customHeight="false" outlineLevel="0" collapsed="false">
      <c r="A39" s="2" t="s">
        <v>44</v>
      </c>
      <c r="B39" s="2" t="s">
        <v>90</v>
      </c>
      <c r="C39" s="3" t="s">
        <v>9</v>
      </c>
      <c r="D39" s="4" t="s">
        <v>93</v>
      </c>
      <c r="E39" s="8" t="s">
        <v>24</v>
      </c>
      <c r="F39" s="6" t="s">
        <v>17</v>
      </c>
      <c r="G39" s="4" t="s">
        <v>94</v>
      </c>
    </row>
    <row r="40" customFormat="false" ht="15" hidden="false" customHeight="false" outlineLevel="0" collapsed="false">
      <c r="A40" s="2" t="s">
        <v>44</v>
      </c>
      <c r="B40" s="2" t="s">
        <v>90</v>
      </c>
      <c r="C40" s="3" t="s">
        <v>9</v>
      </c>
      <c r="D40" s="4" t="s">
        <v>95</v>
      </c>
      <c r="E40" s="8" t="s">
        <v>24</v>
      </c>
      <c r="F40" s="6" t="s">
        <v>25</v>
      </c>
      <c r="G40" s="4" t="s">
        <v>96</v>
      </c>
    </row>
    <row r="41" customFormat="false" ht="26.85" hidden="false" customHeight="false" outlineLevel="0" collapsed="false">
      <c r="A41" s="2" t="s">
        <v>44</v>
      </c>
      <c r="B41" s="2" t="s">
        <v>90</v>
      </c>
      <c r="C41" s="3" t="s">
        <v>9</v>
      </c>
      <c r="D41" s="4" t="s">
        <v>97</v>
      </c>
      <c r="E41" s="5" t="s">
        <v>11</v>
      </c>
      <c r="F41" s="6" t="s">
        <v>12</v>
      </c>
      <c r="G41" s="4" t="s">
        <v>98</v>
      </c>
    </row>
    <row r="42" customFormat="false" ht="15" hidden="false" customHeight="false" outlineLevel="0" collapsed="false">
      <c r="A42" s="2" t="s">
        <v>44</v>
      </c>
      <c r="B42" s="2" t="s">
        <v>99</v>
      </c>
      <c r="C42" s="2" t="s">
        <v>89</v>
      </c>
      <c r="D42" s="4" t="s">
        <v>100</v>
      </c>
      <c r="E42" s="8" t="s">
        <v>24</v>
      </c>
      <c r="F42" s="6" t="s">
        <v>25</v>
      </c>
      <c r="G42" s="4" t="s">
        <v>101</v>
      </c>
    </row>
    <row r="43" customFormat="false" ht="15" hidden="false" customHeight="false" outlineLevel="0" collapsed="false">
      <c r="A43" s="2" t="s">
        <v>44</v>
      </c>
      <c r="B43" s="2" t="s">
        <v>99</v>
      </c>
      <c r="C43" s="2" t="s">
        <v>89</v>
      </c>
      <c r="D43" s="4" t="s">
        <v>102</v>
      </c>
      <c r="E43" s="7" t="s">
        <v>16</v>
      </c>
      <c r="F43" s="6" t="s">
        <v>17</v>
      </c>
      <c r="G43" s="4" t="s">
        <v>103</v>
      </c>
    </row>
    <row r="44" customFormat="false" ht="15" hidden="false" customHeight="false" outlineLevel="0" collapsed="false">
      <c r="A44" s="2" t="s">
        <v>44</v>
      </c>
      <c r="B44" s="2" t="s">
        <v>99</v>
      </c>
      <c r="C44" s="2" t="s">
        <v>89</v>
      </c>
      <c r="D44" s="4" t="s">
        <v>104</v>
      </c>
      <c r="E44" s="7" t="s">
        <v>16</v>
      </c>
      <c r="F44" s="6" t="s">
        <v>17</v>
      </c>
      <c r="G44" s="4" t="s">
        <v>105</v>
      </c>
    </row>
    <row r="45" customFormat="false" ht="26.85" hidden="false" customHeight="false" outlineLevel="0" collapsed="false">
      <c r="A45" s="2" t="s">
        <v>44</v>
      </c>
      <c r="B45" s="2" t="s">
        <v>106</v>
      </c>
      <c r="C45" s="3" t="s">
        <v>9</v>
      </c>
      <c r="D45" s="4" t="s">
        <v>107</v>
      </c>
      <c r="E45" s="7" t="s">
        <v>16</v>
      </c>
      <c r="F45" s="6" t="s">
        <v>17</v>
      </c>
      <c r="G45" s="4" t="s">
        <v>108</v>
      </c>
    </row>
    <row r="46" customFormat="false" ht="15" hidden="false" customHeight="false" outlineLevel="0" collapsed="false">
      <c r="A46" s="2" t="s">
        <v>44</v>
      </c>
      <c r="B46" s="2" t="s">
        <v>106</v>
      </c>
      <c r="C46" s="3" t="s">
        <v>9</v>
      </c>
      <c r="D46" s="4" t="s">
        <v>109</v>
      </c>
      <c r="E46" s="5" t="s">
        <v>11</v>
      </c>
      <c r="F46" s="6" t="s">
        <v>12</v>
      </c>
      <c r="G46" s="4" t="s">
        <v>110</v>
      </c>
    </row>
    <row r="47" customFormat="false" ht="15" hidden="false" customHeight="false" outlineLevel="0" collapsed="false">
      <c r="A47" s="2" t="s">
        <v>44</v>
      </c>
      <c r="B47" s="2" t="s">
        <v>106</v>
      </c>
      <c r="C47" s="3" t="s">
        <v>9</v>
      </c>
      <c r="D47" s="4" t="s">
        <v>111</v>
      </c>
      <c r="E47" s="8" t="s">
        <v>24</v>
      </c>
      <c r="F47" s="6" t="s">
        <v>17</v>
      </c>
      <c r="G47" s="4" t="s">
        <v>112</v>
      </c>
    </row>
    <row r="48" customFormat="false" ht="15" hidden="false" customHeight="false" outlineLevel="0" collapsed="false">
      <c r="A48" s="2" t="s">
        <v>44</v>
      </c>
      <c r="B48" s="2" t="s">
        <v>106</v>
      </c>
      <c r="C48" s="3" t="s">
        <v>9</v>
      </c>
      <c r="D48" s="4" t="s">
        <v>113</v>
      </c>
      <c r="E48" s="8" t="s">
        <v>24</v>
      </c>
      <c r="F48" s="6" t="s">
        <v>17</v>
      </c>
      <c r="G48" s="4" t="s">
        <v>114</v>
      </c>
    </row>
    <row r="49" customFormat="false" ht="15" hidden="false" customHeight="false" outlineLevel="0" collapsed="false">
      <c r="A49" s="2" t="s">
        <v>44</v>
      </c>
      <c r="B49" s="2" t="s">
        <v>106</v>
      </c>
      <c r="C49" s="3" t="s">
        <v>9</v>
      </c>
      <c r="D49" s="4" t="s">
        <v>115</v>
      </c>
      <c r="E49" s="5" t="s">
        <v>11</v>
      </c>
      <c r="F49" s="6" t="s">
        <v>12</v>
      </c>
      <c r="G49" s="4" t="s">
        <v>116</v>
      </c>
    </row>
    <row r="50" customFormat="false" ht="26.85" hidden="false" customHeight="false" outlineLevel="0" collapsed="false">
      <c r="A50" s="2" t="s">
        <v>44</v>
      </c>
      <c r="B50" s="2" t="s">
        <v>106</v>
      </c>
      <c r="C50" s="3" t="s">
        <v>9</v>
      </c>
      <c r="D50" s="4" t="s">
        <v>117</v>
      </c>
      <c r="E50" s="5" t="s">
        <v>11</v>
      </c>
      <c r="F50" s="6" t="s">
        <v>12</v>
      </c>
      <c r="G50" s="4" t="s">
        <v>118</v>
      </c>
    </row>
    <row r="51" customFormat="false" ht="15" hidden="false" customHeight="false" outlineLevel="0" collapsed="false">
      <c r="A51" s="2" t="s">
        <v>44</v>
      </c>
      <c r="B51" s="2" t="s">
        <v>119</v>
      </c>
      <c r="C51" s="2" t="s">
        <v>120</v>
      </c>
      <c r="D51" s="4" t="s">
        <v>121</v>
      </c>
      <c r="E51" s="8" t="s">
        <v>24</v>
      </c>
      <c r="F51" s="6" t="s">
        <v>25</v>
      </c>
      <c r="G51" s="4" t="s">
        <v>122</v>
      </c>
    </row>
    <row r="52" customFormat="false" ht="15" hidden="false" customHeight="false" outlineLevel="0" collapsed="false">
      <c r="A52" s="2" t="s">
        <v>44</v>
      </c>
      <c r="B52" s="2" t="s">
        <v>119</v>
      </c>
      <c r="C52" s="2" t="s">
        <v>120</v>
      </c>
      <c r="D52" s="4" t="s">
        <v>123</v>
      </c>
      <c r="E52" s="7" t="s">
        <v>16</v>
      </c>
      <c r="F52" s="6" t="s">
        <v>17</v>
      </c>
      <c r="G52" s="4" t="s">
        <v>124</v>
      </c>
    </row>
    <row r="53" customFormat="false" ht="15" hidden="false" customHeight="false" outlineLevel="0" collapsed="false">
      <c r="A53" s="2" t="s">
        <v>44</v>
      </c>
      <c r="B53" s="2" t="s">
        <v>119</v>
      </c>
      <c r="C53" s="2" t="s">
        <v>120</v>
      </c>
      <c r="D53" s="4" t="s">
        <v>125</v>
      </c>
      <c r="E53" s="8" t="s">
        <v>24</v>
      </c>
      <c r="F53" s="6" t="s">
        <v>17</v>
      </c>
      <c r="G53" s="4" t="s">
        <v>126</v>
      </c>
    </row>
    <row r="54" customFormat="false" ht="26.85" hidden="false" customHeight="false" outlineLevel="0" collapsed="false">
      <c r="A54" s="2" t="s">
        <v>44</v>
      </c>
      <c r="B54" s="2" t="s">
        <v>127</v>
      </c>
      <c r="C54" s="2" t="s">
        <v>37</v>
      </c>
      <c r="D54" s="4" t="s">
        <v>128</v>
      </c>
      <c r="E54" s="8" t="s">
        <v>24</v>
      </c>
      <c r="F54" s="6" t="s">
        <v>17</v>
      </c>
      <c r="G54" s="4" t="s">
        <v>129</v>
      </c>
    </row>
    <row r="55" customFormat="false" ht="15" hidden="false" customHeight="false" outlineLevel="0" collapsed="false">
      <c r="A55" s="2" t="s">
        <v>44</v>
      </c>
      <c r="B55" s="2" t="s">
        <v>127</v>
      </c>
      <c r="C55" s="2" t="s">
        <v>37</v>
      </c>
      <c r="D55" s="4" t="s">
        <v>130</v>
      </c>
      <c r="E55" s="5" t="s">
        <v>11</v>
      </c>
      <c r="F55" s="6" t="s">
        <v>12</v>
      </c>
      <c r="G55" s="4" t="s">
        <v>131</v>
      </c>
    </row>
    <row r="56" customFormat="false" ht="15" hidden="false" customHeight="false" outlineLevel="0" collapsed="false">
      <c r="A56" s="2" t="s">
        <v>44</v>
      </c>
      <c r="B56" s="2" t="s">
        <v>27</v>
      </c>
      <c r="C56" s="3" t="s">
        <v>9</v>
      </c>
      <c r="D56" s="4" t="s">
        <v>28</v>
      </c>
      <c r="E56" s="7" t="s">
        <v>16</v>
      </c>
      <c r="F56" s="6" t="s">
        <v>17</v>
      </c>
      <c r="G56" s="4" t="s">
        <v>29</v>
      </c>
    </row>
    <row r="57" customFormat="false" ht="15" hidden="false" customHeight="false" outlineLevel="0" collapsed="false">
      <c r="A57" s="2" t="s">
        <v>44</v>
      </c>
      <c r="B57" s="2" t="s">
        <v>27</v>
      </c>
      <c r="C57" s="3" t="s">
        <v>9</v>
      </c>
      <c r="D57" s="4" t="s">
        <v>30</v>
      </c>
      <c r="E57" s="7" t="s">
        <v>16</v>
      </c>
      <c r="F57" s="6" t="s">
        <v>17</v>
      </c>
      <c r="G57" s="4" t="s">
        <v>31</v>
      </c>
    </row>
    <row r="58" customFormat="false" ht="15" hidden="false" customHeight="false" outlineLevel="0" collapsed="false">
      <c r="A58" s="2" t="s">
        <v>44</v>
      </c>
      <c r="B58" s="2" t="s">
        <v>27</v>
      </c>
      <c r="C58" s="3" t="s">
        <v>9</v>
      </c>
      <c r="D58" s="4" t="s">
        <v>32</v>
      </c>
      <c r="E58" s="7" t="s">
        <v>16</v>
      </c>
      <c r="F58" s="6" t="s">
        <v>17</v>
      </c>
      <c r="G58" s="4" t="s">
        <v>29</v>
      </c>
    </row>
    <row r="59" customFormat="false" ht="15" hidden="false" customHeight="false" outlineLevel="0" collapsed="false">
      <c r="A59" s="2" t="s">
        <v>44</v>
      </c>
      <c r="B59" s="2" t="s">
        <v>27</v>
      </c>
      <c r="C59" s="3" t="s">
        <v>9</v>
      </c>
      <c r="D59" s="4" t="s">
        <v>33</v>
      </c>
      <c r="E59" s="7" t="s">
        <v>16</v>
      </c>
      <c r="F59" s="6" t="s">
        <v>17</v>
      </c>
      <c r="G59" s="4" t="s">
        <v>31</v>
      </c>
    </row>
    <row r="60" customFormat="false" ht="15" hidden="false" customHeight="false" outlineLevel="0" collapsed="false">
      <c r="A60" s="2" t="s">
        <v>44</v>
      </c>
      <c r="B60" s="2" t="s">
        <v>27</v>
      </c>
      <c r="C60" s="3" t="s">
        <v>9</v>
      </c>
      <c r="D60" s="4" t="s">
        <v>34</v>
      </c>
      <c r="E60" s="8" t="s">
        <v>24</v>
      </c>
      <c r="F60" s="6" t="s">
        <v>25</v>
      </c>
      <c r="G60" s="4" t="s">
        <v>35</v>
      </c>
    </row>
    <row r="61" customFormat="false" ht="15" hidden="false" customHeight="false" outlineLevel="0" collapsed="false">
      <c r="A61" s="2" t="s">
        <v>44</v>
      </c>
      <c r="B61" s="2" t="s">
        <v>132</v>
      </c>
      <c r="C61" s="2" t="s">
        <v>89</v>
      </c>
      <c r="D61" s="4" t="s">
        <v>133</v>
      </c>
      <c r="E61" s="5" t="s">
        <v>11</v>
      </c>
      <c r="F61" s="6" t="s">
        <v>12</v>
      </c>
      <c r="G61" s="4" t="s">
        <v>134</v>
      </c>
    </row>
    <row r="62" customFormat="false" ht="26.85" hidden="false" customHeight="false" outlineLevel="0" collapsed="false">
      <c r="A62" s="2" t="s">
        <v>44</v>
      </c>
      <c r="B62" s="2" t="s">
        <v>132</v>
      </c>
      <c r="C62" s="2" t="s">
        <v>89</v>
      </c>
      <c r="D62" s="4" t="s">
        <v>135</v>
      </c>
      <c r="E62" s="5" t="s">
        <v>11</v>
      </c>
      <c r="F62" s="6" t="s">
        <v>12</v>
      </c>
      <c r="G62" s="4" t="s">
        <v>136</v>
      </c>
    </row>
    <row r="63" customFormat="false" ht="15" hidden="false" customHeight="false" outlineLevel="0" collapsed="false">
      <c r="A63" s="2" t="s">
        <v>44</v>
      </c>
      <c r="B63" s="2" t="s">
        <v>132</v>
      </c>
      <c r="C63" s="2" t="s">
        <v>89</v>
      </c>
      <c r="D63" s="4" t="s">
        <v>137</v>
      </c>
      <c r="E63" s="5" t="s">
        <v>11</v>
      </c>
      <c r="F63" s="6" t="s">
        <v>12</v>
      </c>
      <c r="G63" s="4" t="s">
        <v>138</v>
      </c>
    </row>
    <row r="64" customFormat="false" ht="15" hidden="false" customHeight="false" outlineLevel="0" collapsed="false">
      <c r="A64" s="2" t="s">
        <v>44</v>
      </c>
      <c r="B64" s="2" t="s">
        <v>132</v>
      </c>
      <c r="C64" s="2" t="s">
        <v>89</v>
      </c>
      <c r="D64" s="4" t="s">
        <v>139</v>
      </c>
      <c r="E64" s="5" t="s">
        <v>11</v>
      </c>
      <c r="F64" s="6" t="s">
        <v>12</v>
      </c>
      <c r="G64" s="4" t="s">
        <v>140</v>
      </c>
    </row>
    <row r="65" customFormat="false" ht="26.85" hidden="false" customHeight="false" outlineLevel="0" collapsed="false">
      <c r="A65" s="2" t="s">
        <v>44</v>
      </c>
      <c r="B65" s="2" t="s">
        <v>132</v>
      </c>
      <c r="C65" s="2" t="s">
        <v>89</v>
      </c>
      <c r="D65" s="4" t="s">
        <v>141</v>
      </c>
      <c r="E65" s="5" t="s">
        <v>11</v>
      </c>
      <c r="F65" s="6" t="s">
        <v>12</v>
      </c>
      <c r="G65" s="4" t="s">
        <v>142</v>
      </c>
    </row>
    <row r="66" customFormat="false" ht="26.85" hidden="false" customHeight="false" outlineLevel="0" collapsed="false">
      <c r="A66" s="2" t="s">
        <v>44</v>
      </c>
      <c r="B66" s="2" t="s">
        <v>143</v>
      </c>
      <c r="C66" s="2" t="s">
        <v>144</v>
      </c>
      <c r="D66" s="4" t="s">
        <v>145</v>
      </c>
      <c r="E66" s="7" t="s">
        <v>16</v>
      </c>
      <c r="F66" s="6" t="s">
        <v>17</v>
      </c>
      <c r="G66" s="4" t="s">
        <v>146</v>
      </c>
    </row>
    <row r="67" customFormat="false" ht="15" hidden="false" customHeight="false" outlineLevel="0" collapsed="false">
      <c r="A67" s="2" t="s">
        <v>44</v>
      </c>
      <c r="B67" s="2" t="s">
        <v>143</v>
      </c>
      <c r="C67" s="2" t="s">
        <v>144</v>
      </c>
      <c r="D67" s="4" t="s">
        <v>147</v>
      </c>
      <c r="E67" s="8" t="s">
        <v>24</v>
      </c>
      <c r="F67" s="6" t="s">
        <v>25</v>
      </c>
      <c r="G67" s="4" t="s">
        <v>148</v>
      </c>
    </row>
    <row r="68" customFormat="false" ht="26.85" hidden="false" customHeight="false" outlineLevel="0" collapsed="false">
      <c r="A68" s="2" t="s">
        <v>44</v>
      </c>
      <c r="B68" s="2" t="s">
        <v>143</v>
      </c>
      <c r="C68" s="2" t="s">
        <v>144</v>
      </c>
      <c r="D68" s="4" t="s">
        <v>149</v>
      </c>
      <c r="E68" s="8" t="s">
        <v>24</v>
      </c>
      <c r="F68" s="6" t="s">
        <v>17</v>
      </c>
      <c r="G68" s="4" t="s">
        <v>150</v>
      </c>
    </row>
    <row r="69" customFormat="false" ht="15" hidden="false" customHeight="false" outlineLevel="0" collapsed="false">
      <c r="A69" s="2" t="s">
        <v>44</v>
      </c>
      <c r="B69" s="2" t="s">
        <v>143</v>
      </c>
      <c r="C69" s="2" t="s">
        <v>144</v>
      </c>
      <c r="D69" s="4" t="s">
        <v>151</v>
      </c>
      <c r="E69" s="8" t="s">
        <v>24</v>
      </c>
      <c r="F69" s="6" t="s">
        <v>25</v>
      </c>
      <c r="G69" s="4" t="s">
        <v>152</v>
      </c>
    </row>
    <row r="70" customFormat="false" ht="15" hidden="false" customHeight="false" outlineLevel="0" collapsed="false">
      <c r="A70" s="2" t="s">
        <v>44</v>
      </c>
      <c r="B70" s="2" t="s">
        <v>153</v>
      </c>
      <c r="C70" s="2" t="s">
        <v>154</v>
      </c>
      <c r="D70" s="4" t="s">
        <v>155</v>
      </c>
      <c r="E70" s="8" t="s">
        <v>24</v>
      </c>
      <c r="F70" s="6" t="s">
        <v>25</v>
      </c>
      <c r="G70" s="4" t="s">
        <v>156</v>
      </c>
    </row>
    <row r="71" customFormat="false" ht="15" hidden="false" customHeight="false" outlineLevel="0" collapsed="false">
      <c r="A71" s="2" t="s">
        <v>44</v>
      </c>
      <c r="B71" s="2" t="s">
        <v>153</v>
      </c>
      <c r="C71" s="2" t="s">
        <v>154</v>
      </c>
      <c r="D71" s="4" t="s">
        <v>157</v>
      </c>
      <c r="E71" s="8" t="s">
        <v>24</v>
      </c>
      <c r="F71" s="6" t="s">
        <v>17</v>
      </c>
      <c r="G71" s="4" t="s">
        <v>158</v>
      </c>
    </row>
    <row r="72" customFormat="false" ht="15" hidden="false" customHeight="false" outlineLevel="0" collapsed="false">
      <c r="A72" s="2" t="s">
        <v>44</v>
      </c>
      <c r="B72" s="2" t="s">
        <v>153</v>
      </c>
      <c r="C72" s="2" t="s">
        <v>154</v>
      </c>
      <c r="D72" s="4" t="s">
        <v>159</v>
      </c>
      <c r="E72" s="8" t="s">
        <v>24</v>
      </c>
      <c r="F72" s="6" t="s">
        <v>17</v>
      </c>
      <c r="G72" s="4" t="s">
        <v>160</v>
      </c>
    </row>
    <row r="73" customFormat="false" ht="15" hidden="false" customHeight="false" outlineLevel="0" collapsed="false">
      <c r="A73" s="2" t="s">
        <v>44</v>
      </c>
      <c r="B73" s="2" t="s">
        <v>153</v>
      </c>
      <c r="C73" s="2" t="s">
        <v>154</v>
      </c>
      <c r="D73" s="4" t="s">
        <v>161</v>
      </c>
      <c r="E73" s="7" t="s">
        <v>16</v>
      </c>
      <c r="F73" s="6" t="s">
        <v>17</v>
      </c>
      <c r="G73" s="4" t="s">
        <v>162</v>
      </c>
    </row>
  </sheetData>
  <autoFilter ref="A1:G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9" t="s">
        <v>163</v>
      </c>
    </row>
    <row r="3" customFormat="false" ht="15" hidden="false" customHeight="false" outlineLevel="0" collapsed="false">
      <c r="A3" s="10" t="s">
        <v>164</v>
      </c>
    </row>
    <row r="4" customFormat="false" ht="15" hidden="false" customHeight="false" outlineLevel="0" collapsed="false">
      <c r="A4" s="11" t="s">
        <v>165</v>
      </c>
      <c r="B4" s="12" t="n">
        <f aca="false">COUNTIF(Overzicht!$E$2:$E$73,"AI")</f>
        <v>23</v>
      </c>
      <c r="C4" s="13" t="n">
        <f aca="false">COUNTIF(Overzicht!$E$2:$E$73,"AI")/COUNTA(Overzicht!$E$2:$E$73)</f>
        <v>0.319444444444444</v>
      </c>
    </row>
    <row r="5" customFormat="false" ht="15" hidden="false" customHeight="false" outlineLevel="0" collapsed="false">
      <c r="A5" s="14" t="s">
        <v>166</v>
      </c>
      <c r="B5" s="12" t="n">
        <f aca="false">COUNTIF(Overzicht!$E$2:$E$73,"Hybride")</f>
        <v>31</v>
      </c>
      <c r="C5" s="13" t="n">
        <f aca="false">COUNTIF(Overzicht!$E$2:$E$73,"Hybride")/COUNTA(Overzicht!$E$2:$E$73)</f>
        <v>0.430555555555556</v>
      </c>
    </row>
    <row r="6" customFormat="false" ht="15" hidden="false" customHeight="false" outlineLevel="0" collapsed="false">
      <c r="A6" s="15" t="s">
        <v>167</v>
      </c>
      <c r="B6" s="12" t="n">
        <f aca="false">COUNTIF(Overzicht!$E$2:$E$73,"Mens")</f>
        <v>18</v>
      </c>
      <c r="C6" s="13" t="n">
        <f aca="false">COUNTIF(Overzicht!$E$2:$E$73,"Mens")/COUNTA(Overzicht!$E$2:$E$73)</f>
        <v>0.25</v>
      </c>
    </row>
    <row r="7" customFormat="false" ht="15" hidden="false" customHeight="false" outlineLevel="0" collapsed="false">
      <c r="A7" s="10" t="s">
        <v>168</v>
      </c>
      <c r="B7" s="10" t="n">
        <f aca="false">COUNTA(Overzicht!$E$2:$E$73)</f>
        <v>72</v>
      </c>
    </row>
    <row r="9" customFormat="false" ht="15" hidden="false" customHeight="false" outlineLevel="0" collapsed="false">
      <c r="A9" s="10" t="s">
        <v>169</v>
      </c>
    </row>
    <row r="10" customFormat="false" ht="15" hidden="false" customHeight="false" outlineLevel="0" collapsed="false">
      <c r="A10" s="12" t="s">
        <v>170</v>
      </c>
    </row>
    <row r="11" customFormat="false" ht="15" hidden="false" customHeight="false" outlineLevel="0" collapsed="false">
      <c r="A11" s="12" t="s">
        <v>171</v>
      </c>
    </row>
    <row r="12" customFormat="false" ht="15" hidden="false" customHeight="false" outlineLevel="0" collapsed="false">
      <c r="A12" s="12" t="s">
        <v>172</v>
      </c>
    </row>
    <row r="13" customFormat="false" ht="15" hidden="false" customHeight="false" outlineLevel="0" collapsed="false">
      <c r="A13" s="12" t="s">
        <v>173</v>
      </c>
    </row>
    <row r="15" customFormat="false" ht="15" hidden="false" customHeight="false" outlineLevel="0" collapsed="false">
      <c r="A15" s="10" t="s">
        <v>174</v>
      </c>
    </row>
    <row r="16" customFormat="false" ht="15" hidden="false" customHeight="false" outlineLevel="0" collapsed="false">
      <c r="A16" s="12" t="s">
        <v>175</v>
      </c>
    </row>
    <row r="17" customFormat="false" ht="15" hidden="false" customHeight="false" outlineLevel="0" collapsed="false">
      <c r="A17" s="10" t="s">
        <v>176</v>
      </c>
      <c r="B17" s="12" t="s">
        <v>177</v>
      </c>
    </row>
    <row r="18" customFormat="false" ht="15" hidden="false" customHeight="false" outlineLevel="0" collapsed="false">
      <c r="A18" s="10" t="s">
        <v>178</v>
      </c>
      <c r="B18" s="12" t="s">
        <v>179</v>
      </c>
    </row>
    <row r="19" customFormat="false" ht="15" hidden="false" customHeight="false" outlineLevel="0" collapsed="false">
      <c r="A19" s="10" t="s">
        <v>180</v>
      </c>
      <c r="B19" s="12" t="s">
        <v>181</v>
      </c>
    </row>
    <row r="20" customFormat="false" ht="15" hidden="false" customHeight="false" outlineLevel="0" collapsed="false">
      <c r="A20" s="10" t="s">
        <v>182</v>
      </c>
      <c r="B20" s="12" t="s">
        <v>183</v>
      </c>
    </row>
    <row r="21" customFormat="false" ht="15" hidden="false" customHeight="false" outlineLevel="0" collapsed="false">
      <c r="A21" s="10" t="s">
        <v>184</v>
      </c>
      <c r="B21" s="1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2026-06-27T00:01:19Z</dcterms:created>
  <dc:creator>openpyxl</dc:creator>
  <dc:description/>
  <dc:language>en-US</dc:language>
  <cp:lastModifiedBy/>
  <dcterms:modified xsi:type="dcterms:W3CDTF">2026-06-27T00:01:19Z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