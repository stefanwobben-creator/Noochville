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annames" sheetId="1" state="visible" r:id="rId3"/>
    <sheet name="Organisaties" sheetId="2" state="visible" r:id="rId4"/>
    <sheet name="Toelich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<sst xmlns="http://schemas.openxmlformats.org/spreadsheetml/2006/main" count="53" uniqueCount="53">
  <si>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Aannames (pas aan om scenario's te draaien)</t>
  </si>
  <si>
    <t xml:space="preserve">Geladen loonkosten per FTE (€/jaar, incl. werkgeverslasten+overhead)</t>
  </si>
  <si>
    <t xml:space="preserve">Realisatie (deel van het theoretische potentieel dat je echt pakt, jr 1-3)</t>
  </si>
  <si>
    <t xml:space="preserve">Waarde-capture als product (deel van de waarde dat de leverancier vangt)</t>
  </si>
  <si>
    <t xml:space="preserve">EV-multiple (waarde-uplift = jaarwaarde × multiple)</t>
  </si>
  <si>
    <t xml:space="preserve">Gewicht AI-accountability (deel automatiseerbaar)</t>
  </si>
  <si>
    <t xml:space="preserve">Gewicht Hybride-accountability (deel dat de agent overneemt)</t>
  </si>
  <si>
    <t xml:space="preserve">Gewicht Mens-accountability</t>
  </si>
  <si>
    <t xml:space="preserve">Waarde van AI-agents binnen de rollen — per organisatie</t>
  </si>
  <si>
    <t xml:space="preserve">Loonkosten op basis van FTE (robuuster dan omzet). Jaarwaarde = loonkosten × kenniswerk-aandeel × automatiseringsfactor × realisatie.</t>
  </si>
  <si>
    <t xml:space="preserve">Organisatie</t>
  </si>
  <si>
    <t xml:space="preserve">Omzet (€)</t>
  </si>
  <si>
    <t xml:space="preserve">FTE</t>
  </si>
  <si>
    <t xml:space="preserve">Kenniswerk-aandeel</t>
  </si>
  <si>
    <t xml:space="preserve">AI %</t>
  </si>
  <si>
    <t xml:space="preserve">Hybride %</t>
  </si>
  <si>
    <t xml:space="preserve">Mens %</t>
  </si>
  <si>
    <t xml:space="preserve">Loonkosten (€)</t>
  </si>
  <si>
    <t xml:space="preserve">Automatiserings-factor</t>
  </si>
  <si>
    <t xml:space="preserve">Jaarwaarde (€)</t>
  </si>
  <si>
    <t xml:space="preserve">Capturebaar ARR (€)</t>
  </si>
  <si>
    <t xml:space="preserve">EV-uplift (€)</t>
  </si>
  <si>
    <t xml:space="preserve">Nooch</t>
  </si>
  <si>
    <t xml:space="preserve">governance-data; startup</t>
  </si>
  <si>
    <t xml:space="preserve">OVM (Onlineveilingmeester.nl)</t>
  </si>
  <si>
    <t xml:space="preserve">FTE~40; €40M = veiling-GMV, opbrengst lager</t>
  </si>
  <si>
    <t xml:space="preserve">Findyourgroup</t>
  </si>
  <si>
    <t xml:space="preserve">~€23-25M, ~100 medewerkers, 13 bedrijven</t>
  </si>
  <si>
    <t xml:space="preserve">Obelink</t>
  </si>
  <si>
    <t xml:space="preserve">grootste kampeerretailer EU; veel winkel/logistiek</t>
  </si>
  <si>
    <t xml:space="preserve">Authentic Models *</t>
  </si>
  <si>
    <t xml:space="preserve">* geen governance-data: gemiddelde split</t>
  </si>
  <si>
    <t xml:space="preserve">Totaal (5 organisaties)</t>
  </si>
  <si>
    <t xml:space="preserve">Hoe te lezen — en de grenzen</t>
  </si>
  <si>
    <t xml:space="preserve">Dit is een ballpark-model met expliciete aannames, geen accountantsrapport. Doel: een orde</t>
  </si>
  <si>
    <t xml:space="preserve">van grootte van wat AI-agents-in-de-rollen waard zijn, met knoppen om aan te draaien.</t>
  </si>
  <si>
    <t xml:space="preserve">Kettingrekening per organisatie:</t>
  </si>
  <si>
    <t xml:space="preserve">  Loonkosten = FTE × geladen kosten/FTE</t>
  </si>
  <si>
    <t xml:space="preserve">  Automatiseringsfactor = AI%×0,9 + Hybride%×0,35 + Mens%×0  (uit de accountability-analyse)</t>
  </si>
  <si>
    <t xml:space="preserve">  Jaarwaarde = Loonkosten × kenniswerk-aandeel × automatiseringsfactor × realisatie</t>
  </si>
  <si>
    <t xml:space="preserve">  Capturebaar ARR = Jaarwaarde × waarde-capture (wat jij als leverancier kunt vangen)</t>
  </si>
  <si>
    <t xml:space="preserve">  EV-uplift = Jaarwaarde × EV-multiple (waarde voor de eigenaar bij structurele besparing)</t>
  </si>
  <si>
    <t xml:space="preserve">Belangrijke kanttekeningen:</t>
  </si>
  <si>
    <t xml:space="preserve">- Omzetten zijn schattingen uit openbare bronnen; OVM €40M is vermoedelijk veiling-GMV,</t>
  </si>
  <si>
    <t xml:space="preserve">  daarom ankeren we op FTE i.p.v. omzet voor de loonkosten.</t>
  </si>
  <si>
    <t xml:space="preserve">- FTE's zijn grove schattingen (deels afgeleid). Pas ze aan zodra je echte cijfers hebt.</t>
  </si>
  <si>
    <t xml:space="preserve">- De AI/Hybride/Mens-split komt uit een keyword-heuristiek (eerste inschatting).</t>
  </si>
  <si>
    <t xml:space="preserve">- 'Kenniswerk-aandeel' schat hoeveel van het werk überhaupt rol-/coördinatiewerk is</t>
  </si>
  <si>
    <t xml:space="preserve">  (laag bij retail/logistiek zoals Obelink, hoog bij een kennis-startup zoals Nooch).</t>
  </si>
  <si>
    <t xml:space="preserve">- Authentic Models heeft geen governance-data; daar is de gemiddelde split gebruikt.</t>
  </si>
  <si>
    <t xml:space="preserve">- 050 marketing en ALLC ontbreken (geen export aangeleverd).</t>
  </si>
  <si>
    <t xml:space="preserve">Conclusie staat op 'Organisaties': jaarwaarde per org, totaal, en wat ervan</t>
  </si>
  <si>
    <t xml:space="preserve">capturebaar is als product. Draai realisatie/capture/EV-multiple voor low/base/high.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</si>
</sst>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"/>
    <numFmt numFmtId="168" formatCode="\€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9C65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A7A7A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1B8"/>
        <bgColor rgb="FFFFFF99"/>
      </patternFill>
    </fill>
    <fill>
      <patternFill patternType="solid">
        <fgColor rgb="FF16323A"/>
        <bgColor rgb="FF003366"/>
      </patternFill>
    </fill>
    <fill>
      <patternFill patternType="solid">
        <fgColor rgb="FFF1ECDF"/>
        <bgColor rgb="FFFFF1B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4C0"/>
      </left>
      <right style="thin">
        <color rgb="FFDDD4C0"/>
      </right>
      <top style="thin">
        <color rgb="FFDDD4C0"/>
      </top>
      <bottom style="thin">
        <color rgb="FFDDD4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DDD4C0"/>
      <rgbColor rgb="FF7A7A7A"/>
      <rgbColor rgb="FF9999FF"/>
      <rgbColor rgb="FF993366"/>
      <rgbColor rgb="FFFFF1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EC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3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70000</v>
      </c>
    </row>
    <row r="4" customFormat="false" ht="15" hidden="false" customHeight="false" outlineLevel="0" collapsed="false">
      <c r="A4" s="2" t="s">
        <v>2</v>
      </c>
      <c r="B4" s="4" t="n">
        <v>0.5</v>
      </c>
    </row>
    <row r="5" customFormat="false" ht="15" hidden="false" customHeight="false" outlineLevel="0" collapsed="false">
      <c r="A5" s="2" t="s">
        <v>3</v>
      </c>
      <c r="B5" s="4" t="n">
        <v>0.2</v>
      </c>
    </row>
    <row r="6" customFormat="false" ht="15" hidden="false" customHeight="false" outlineLevel="0" collapsed="false">
      <c r="A6" s="2" t="s">
        <v>4</v>
      </c>
      <c r="B6" s="5" t="n">
        <v>6</v>
      </c>
    </row>
    <row r="7" customFormat="false" ht="15" hidden="false" customHeight="false" outlineLevel="0" collapsed="false">
      <c r="A7" s="2" t="s">
        <v>5</v>
      </c>
      <c r="B7" s="4" t="n">
        <v>0.9</v>
      </c>
    </row>
    <row r="8" customFormat="false" ht="15" hidden="false" customHeight="false" outlineLevel="0" collapsed="false">
      <c r="A8" s="2" t="s">
        <v>6</v>
      </c>
      <c r="B8" s="4" t="n">
        <v>0.35</v>
      </c>
    </row>
    <row r="9" customFormat="false" ht="15" hidden="false" customHeight="false" outlineLevel="0" collapsed="false">
      <c r="A9" s="2" t="s">
        <v>7</v>
      </c>
      <c r="B9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6"/>
    <col collapsed="false" customWidth="true" hidden="false" outlineLevel="0" max="13" min="13" style="0" width="34"/>
  </cols>
  <sheetData>
    <row r="1" customFormat="false" ht="16.15" hidden="false" customHeight="false" outlineLevel="0" collapsed="false">
      <c r="A1" s="1" t="s">
        <v>8</v>
      </c>
    </row>
    <row r="2" customFormat="false" ht="25.5" hidden="false" customHeight="true" outlineLevel="0" collapsed="false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30" hidden="false" customHeight="true" outlineLevel="0" collapsed="false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7" t="s">
        <v>18</v>
      </c>
      <c r="J4" s="7" t="s">
        <v>19</v>
      </c>
      <c r="K4" s="7" t="s">
        <v>20</v>
      </c>
      <c r="L4" s="7" t="s">
        <v>21</v>
      </c>
    </row>
    <row r="5" customFormat="false" ht="15" hidden="false" customHeight="false" outlineLevel="0" collapsed="false">
      <c r="A5" s="8" t="s">
        <v>22</v>
      </c>
      <c r="B5" s="9" t="n">
        <v>200000</v>
      </c>
      <c r="C5" s="10" t="n">
        <v>6</v>
      </c>
      <c r="D5" s="11" t="n">
        <v>0.7</v>
      </c>
      <c r="E5" s="11" t="n">
        <v>0.12</v>
      </c>
      <c r="F5" s="11" t="n">
        <v>0.75</v>
      </c>
      <c r="G5" s="11" t="n">
        <v>0.14</v>
      </c>
      <c r="H5" s="12" t="n">
        <f aca="false">C5*Aannames!$B$3</f>
        <v>420000</v>
      </c>
      <c r="I5" s="13" t="n">
        <f aca="false">E5*Aannames!$B$7+F5*Aannames!$B$8+G5*Aannames!$B$9</f>
        <v>0.3705</v>
      </c>
      <c r="J5" s="12" t="n">
        <f aca="false">H5*D5*I5*Aannames!$B$4</f>
        <v>54463.5</v>
      </c>
      <c r="K5" s="12" t="n">
        <f aca="false">J5*Aannames!$B$5</f>
        <v>10892.7</v>
      </c>
      <c r="L5" s="12" t="n">
        <f aca="false">J5*Aannames!$B$6</f>
        <v>326781</v>
      </c>
      <c r="M5" s="14" t="s">
        <v>23</v>
      </c>
    </row>
    <row r="6" customFormat="false" ht="15" hidden="false" customHeight="false" outlineLevel="0" collapsed="false">
      <c r="A6" s="8" t="s">
        <v>24</v>
      </c>
      <c r="B6" s="9" t="n">
        <v>8000000</v>
      </c>
      <c r="C6" s="10" t="n">
        <v>40</v>
      </c>
      <c r="D6" s="11" t="n">
        <v>0.5</v>
      </c>
      <c r="E6" s="11" t="n">
        <v>0.2</v>
      </c>
      <c r="F6" s="11" t="n">
        <v>0.76</v>
      </c>
      <c r="G6" s="11" t="n">
        <v>0.04</v>
      </c>
      <c r="H6" s="12" t="n">
        <f aca="false">C6*Aannames!$B$3</f>
        <v>2800000</v>
      </c>
      <c r="I6" s="13" t="n">
        <f aca="false">E6*Aannames!$B$7+F6*Aannames!$B$8+G6*Aannames!$B$9</f>
        <v>0.446</v>
      </c>
      <c r="J6" s="12" t="n">
        <f aca="false">H6*D6*I6*Aannames!$B$4</f>
        <v>312200</v>
      </c>
      <c r="K6" s="12" t="n">
        <f aca="false">J6*Aannames!$B$5</f>
        <v>62440</v>
      </c>
      <c r="L6" s="12" t="n">
        <f aca="false">J6*Aannames!$B$6</f>
        <v>1873200</v>
      </c>
      <c r="M6" s="14" t="s">
        <v>25</v>
      </c>
    </row>
    <row r="7" customFormat="false" ht="15" hidden="false" customHeight="false" outlineLevel="0" collapsed="false">
      <c r="A7" s="8" t="s">
        <v>26</v>
      </c>
      <c r="B7" s="9" t="n">
        <v>25000000</v>
      </c>
      <c r="C7" s="10" t="n">
        <v>100</v>
      </c>
      <c r="D7" s="11" t="n">
        <v>0.55</v>
      </c>
      <c r="E7" s="11" t="n">
        <v>0.16</v>
      </c>
      <c r="F7" s="11" t="n">
        <v>0.77</v>
      </c>
      <c r="G7" s="11" t="n">
        <v>0.07</v>
      </c>
      <c r="H7" s="12" t="n">
        <f aca="false">C7*Aannames!$B$3</f>
        <v>7000000</v>
      </c>
      <c r="I7" s="13" t="n">
        <f aca="false">E7*Aannames!$B$7+F7*Aannames!$B$8+G7*Aannames!$B$9</f>
        <v>0.4135</v>
      </c>
      <c r="J7" s="12" t="n">
        <f aca="false">H7*D7*I7*Aannames!$B$4</f>
        <v>795987.5</v>
      </c>
      <c r="K7" s="12" t="n">
        <f aca="false">J7*Aannames!$B$5</f>
        <v>159197.5</v>
      </c>
      <c r="L7" s="12" t="n">
        <f aca="false">J7*Aannames!$B$6</f>
        <v>4775925</v>
      </c>
      <c r="M7" s="14" t="s">
        <v>27</v>
      </c>
    </row>
    <row r="8" customFormat="false" ht="15" hidden="false" customHeight="false" outlineLevel="0" collapsed="false">
      <c r="A8" s="8" t="s">
        <v>28</v>
      </c>
      <c r="B8" s="9" t="n">
        <v>200000000</v>
      </c>
      <c r="C8" s="10" t="n">
        <v>300</v>
      </c>
      <c r="D8" s="11" t="n">
        <v>0.35</v>
      </c>
      <c r="E8" s="11" t="n">
        <v>0.15</v>
      </c>
      <c r="F8" s="11" t="n">
        <v>0.81</v>
      </c>
      <c r="G8" s="11" t="n">
        <v>0.04</v>
      </c>
      <c r="H8" s="12" t="n">
        <f aca="false">C8*Aannames!$B$3</f>
        <v>21000000</v>
      </c>
      <c r="I8" s="13" t="n">
        <f aca="false">E8*Aannames!$B$7+F8*Aannames!$B$8+G8*Aannames!$B$9</f>
        <v>0.4185</v>
      </c>
      <c r="J8" s="12" t="n">
        <f aca="false">H8*D8*I8*Aannames!$B$4</f>
        <v>1537987.5</v>
      </c>
      <c r="K8" s="12" t="n">
        <f aca="false">J8*Aannames!$B$5</f>
        <v>307597.5</v>
      </c>
      <c r="L8" s="12" t="n">
        <f aca="false">J8*Aannames!$B$6</f>
        <v>9227925</v>
      </c>
      <c r="M8" s="14" t="s">
        <v>29</v>
      </c>
    </row>
    <row r="9" customFormat="false" ht="15" hidden="false" customHeight="false" outlineLevel="0" collapsed="false">
      <c r="A9" s="8" t="s">
        <v>30</v>
      </c>
      <c r="B9" s="9" t="n">
        <v>5500000</v>
      </c>
      <c r="C9" s="10" t="n">
        <v>40</v>
      </c>
      <c r="D9" s="11" t="n">
        <v>0.5</v>
      </c>
      <c r="E9" s="11" t="n">
        <v>0.16</v>
      </c>
      <c r="F9" s="11" t="n">
        <v>0.77</v>
      </c>
      <c r="G9" s="11" t="n">
        <v>0.07</v>
      </c>
      <c r="H9" s="12" t="n">
        <f aca="false">C9*Aannames!$B$3</f>
        <v>2800000</v>
      </c>
      <c r="I9" s="13" t="n">
        <f aca="false">E9*Aannames!$B$7+F9*Aannames!$B$8+G9*Aannames!$B$9</f>
        <v>0.4135</v>
      </c>
      <c r="J9" s="12" t="n">
        <f aca="false">H9*D9*I9*Aannames!$B$4</f>
        <v>289450</v>
      </c>
      <c r="K9" s="12" t="n">
        <f aca="false">J9*Aannames!$B$5</f>
        <v>57890</v>
      </c>
      <c r="L9" s="12" t="n">
        <f aca="false">J9*Aannames!$B$6</f>
        <v>1736700</v>
      </c>
      <c r="M9" s="14" t="s">
        <v>31</v>
      </c>
    </row>
    <row r="10" customFormat="false" ht="15" hidden="false" customHeight="false" outlineLevel="0" collapsed="false">
      <c r="A10" s="15" t="s">
        <v>32</v>
      </c>
      <c r="B10" s="16" t="n">
        <f aca="false">SUM(B5:B9)</f>
        <v>238700000</v>
      </c>
      <c r="C10" s="17" t="n">
        <f aca="false">SUM(C5:C9)</f>
        <v>486</v>
      </c>
      <c r="D10" s="15"/>
      <c r="E10" s="15"/>
      <c r="F10" s="15"/>
      <c r="G10" s="15"/>
      <c r="H10" s="16" t="n">
        <f aca="false">SUM(H5:H9)</f>
        <v>34020000</v>
      </c>
      <c r="I10" s="15"/>
      <c r="J10" s="16" t="n">
        <f aca="false">SUM(J5:J9)</f>
        <v>2990088.5</v>
      </c>
      <c r="K10" s="16" t="n">
        <f aca="false">SUM(K5:K9)</f>
        <v>598017.7</v>
      </c>
      <c r="L10" s="16" t="n">
        <f aca="false">SUM(L5:L9)</f>
        <v>17940531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34</v>
      </c>
    </row>
    <row r="4" customFormat="false" ht="15" hidden="false" customHeight="false" outlineLevel="0" collapsed="false">
      <c r="A4" s="2" t="s">
        <v>35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8" t="s">
        <v>36</v>
      </c>
    </row>
    <row r="7" customFormat="false" ht="15" hidden="false" customHeight="false" outlineLevel="0" collapsed="false">
      <c r="A7" s="2" t="s">
        <v>37</v>
      </c>
    </row>
    <row r="8" customFormat="false" ht="15" hidden="false" customHeight="false" outlineLevel="0" collapsed="false">
      <c r="A8" s="2" t="s">
        <v>38</v>
      </c>
    </row>
    <row r="9" customFormat="false" ht="15" hidden="false" customHeight="false" outlineLevel="0" collapsed="false">
      <c r="A9" s="2" t="s">
        <v>39</v>
      </c>
    </row>
    <row r="10" customFormat="false" ht="15" hidden="false" customHeight="false" outlineLevel="0" collapsed="false">
      <c r="A10" s="2" t="s">
        <v>40</v>
      </c>
    </row>
    <row r="11" customFormat="false" ht="15" hidden="false" customHeight="false" outlineLevel="0" collapsed="false">
      <c r="A11" s="2" t="s">
        <v>41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8" t="s">
        <v>42</v>
      </c>
    </row>
    <row r="14" customFormat="false" ht="15" hidden="false" customHeight="false" outlineLevel="0" collapsed="false">
      <c r="A14" s="2" t="s">
        <v>43</v>
      </c>
    </row>
    <row r="15" customFormat="false" ht="15" hidden="false" customHeight="false" outlineLevel="0" collapsed="false">
      <c r="A15" s="2" t="s">
        <v>44</v>
      </c>
    </row>
    <row r="16" customFormat="false" ht="15" hidden="false" customHeight="false" outlineLevel="0" collapsed="false">
      <c r="A16" s="2" t="s">
        <v>45</v>
      </c>
    </row>
    <row r="17" customFormat="false" ht="15" hidden="false" customHeight="false" outlineLevel="0" collapsed="false">
      <c r="A17" s="2" t="s">
        <v>46</v>
      </c>
    </row>
    <row r="18" customFormat="false" ht="15" hidden="false" customHeight="false" outlineLevel="0" collapsed="false">
      <c r="A18" s="2" t="s">
        <v>47</v>
      </c>
    </row>
    <row r="19" customFormat="false" ht="15" hidden="false" customHeight="false" outlineLevel="0" collapsed="false">
      <c r="A19" s="2" t="s">
        <v>48</v>
      </c>
    </row>
    <row r="20" customFormat="false" ht="15" hidden="false" customHeight="false" outlineLevel="0" collapsed="false">
      <c r="A20" s="2" t="s">
        <v>49</v>
      </c>
    </row>
    <row r="21" customFormat="false" ht="15" hidden="false" customHeight="false" outlineLevel="0" collapsed="false">
      <c r="A21" s="2" t="s">
        <v>50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51</v>
      </c>
    </row>
    <row r="24" customFormat="false" ht="15" hidden="false" customHeight="false" outlineLevel="0" collapsed="false">
      <c r="A24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2026-06-27T00:32:53Z</dcterms:created>
  <dc:creator>openpyxl</dc:creator>
  <dc:description/>
  <dc:language>en-US</dc:language>
  <cp:lastModifiedBy/>
  <dcterms:modified xsi:type="dcterms:W3CDTF">2026-06-27T00:32:53Z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